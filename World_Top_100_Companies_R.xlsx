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IDAY\Downloads\"/>
    </mc:Choice>
  </mc:AlternateContent>
  <xr:revisionPtr revIDLastSave="0" documentId="13_ncr:1_{871687C1-E2EF-4A7D-A857-5663411134FA}" xr6:coauthVersionLast="47" xr6:coauthVersionMax="47" xr10:uidLastSave="{00000000-0000-0000-0000-000000000000}"/>
  <bookViews>
    <workbookView xWindow="-108" yWindow="-108" windowWidth="23256" windowHeight="12456" xr2:uid="{00000000-000D-0000-FFFF-FFFF00000000}"/>
  </bookViews>
  <sheets>
    <sheet name="Project Guide" sheetId="1" r:id="rId1"/>
    <sheet name="Top 100 Market Cap" sheetId="2" r:id="rId2"/>
    <sheet name="Pivot Analysis" sheetId="3" r:id="rId3"/>
    <sheet name="Dashboard" sheetId="4" r:id="rId4"/>
    <sheet name="Relationship Analysi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5" l="1"/>
  <c r="D103" i="5"/>
  <c r="C103" i="5"/>
  <c r="B103" i="5"/>
  <c r="A103" i="5"/>
  <c r="E102" i="5"/>
  <c r="D102" i="5"/>
  <c r="C102" i="5"/>
  <c r="B102" i="5"/>
  <c r="A102" i="5"/>
  <c r="E101" i="5"/>
  <c r="D101" i="5"/>
  <c r="C101" i="5"/>
  <c r="B101" i="5"/>
  <c r="A101" i="5"/>
  <c r="E100" i="5"/>
  <c r="D100" i="5"/>
  <c r="C100" i="5"/>
  <c r="B100" i="5"/>
  <c r="A100" i="5"/>
  <c r="E99" i="5"/>
  <c r="D99" i="5"/>
  <c r="C99" i="5"/>
  <c r="B99" i="5"/>
  <c r="A99" i="5"/>
  <c r="E98" i="5"/>
  <c r="D98" i="5"/>
  <c r="C98" i="5"/>
  <c r="B98" i="5"/>
  <c r="A98" i="5"/>
  <c r="E97" i="5"/>
  <c r="D97" i="5"/>
  <c r="C97" i="5"/>
  <c r="B97" i="5"/>
  <c r="A97" i="5"/>
  <c r="E96" i="5"/>
  <c r="D96" i="5"/>
  <c r="C96" i="5"/>
  <c r="B96" i="5"/>
  <c r="A96" i="5"/>
  <c r="E95" i="5"/>
  <c r="D95" i="5"/>
  <c r="C95" i="5"/>
  <c r="B95" i="5"/>
  <c r="A95" i="5"/>
  <c r="E94" i="5"/>
  <c r="D94" i="5"/>
  <c r="C94" i="5"/>
  <c r="B94" i="5"/>
  <c r="A94" i="5"/>
  <c r="E93" i="5"/>
  <c r="D93" i="5"/>
  <c r="C93" i="5"/>
  <c r="B93" i="5"/>
  <c r="A93" i="5"/>
  <c r="E92" i="5"/>
  <c r="D92" i="5"/>
  <c r="C92" i="5"/>
  <c r="B92" i="5"/>
  <c r="A92" i="5"/>
  <c r="E91" i="5"/>
  <c r="D91" i="5"/>
  <c r="C91" i="5"/>
  <c r="B91" i="5"/>
  <c r="A91" i="5"/>
  <c r="E90" i="5"/>
  <c r="D90" i="5"/>
  <c r="C90" i="5"/>
  <c r="B90" i="5"/>
  <c r="A90" i="5"/>
  <c r="E89" i="5"/>
  <c r="D89" i="5"/>
  <c r="C89" i="5"/>
  <c r="B89" i="5"/>
  <c r="A89" i="5"/>
  <c r="E88" i="5"/>
  <c r="D88" i="5"/>
  <c r="C88" i="5"/>
  <c r="B88" i="5"/>
  <c r="A88" i="5"/>
  <c r="E87" i="5"/>
  <c r="D87" i="5"/>
  <c r="C87" i="5"/>
  <c r="B87" i="5"/>
  <c r="A87" i="5"/>
  <c r="E86" i="5"/>
  <c r="D86" i="5"/>
  <c r="C86" i="5"/>
  <c r="B86" i="5"/>
  <c r="A86" i="5"/>
  <c r="E85" i="5"/>
  <c r="D85" i="5"/>
  <c r="C85" i="5"/>
  <c r="B85" i="5"/>
  <c r="A85" i="5"/>
  <c r="E84" i="5"/>
  <c r="D84" i="5"/>
  <c r="C84" i="5"/>
  <c r="B84" i="5"/>
  <c r="A84" i="5"/>
  <c r="E83" i="5"/>
  <c r="D83" i="5"/>
  <c r="C83" i="5"/>
  <c r="B83" i="5"/>
  <c r="A83" i="5"/>
  <c r="E82" i="5"/>
  <c r="D82" i="5"/>
  <c r="C82" i="5"/>
  <c r="B82" i="5"/>
  <c r="A82" i="5"/>
  <c r="E81" i="5"/>
  <c r="D81" i="5"/>
  <c r="C81" i="5"/>
  <c r="B81" i="5"/>
  <c r="A81" i="5"/>
  <c r="E80" i="5"/>
  <c r="D80" i="5"/>
  <c r="C80" i="5"/>
  <c r="B80" i="5"/>
  <c r="A80" i="5"/>
  <c r="E79" i="5"/>
  <c r="D79" i="5"/>
  <c r="C79" i="5"/>
  <c r="B79" i="5"/>
  <c r="A79" i="5"/>
  <c r="E78" i="5"/>
  <c r="D78" i="5"/>
  <c r="C78" i="5"/>
  <c r="B78" i="5"/>
  <c r="A78" i="5"/>
  <c r="E77" i="5"/>
  <c r="D77" i="5"/>
  <c r="C77" i="5"/>
  <c r="B77" i="5"/>
  <c r="A77" i="5"/>
  <c r="E76" i="5"/>
  <c r="D76" i="5"/>
  <c r="C76" i="5"/>
  <c r="B76" i="5"/>
  <c r="A76" i="5"/>
  <c r="E75" i="5"/>
  <c r="D75" i="5"/>
  <c r="C75" i="5"/>
  <c r="B75" i="5"/>
  <c r="A75" i="5"/>
  <c r="E74" i="5"/>
  <c r="D74" i="5"/>
  <c r="C74" i="5"/>
  <c r="B74" i="5"/>
  <c r="A74" i="5"/>
  <c r="E73" i="5"/>
  <c r="D73" i="5"/>
  <c r="C73" i="5"/>
  <c r="B73" i="5"/>
  <c r="A73" i="5"/>
  <c r="E72" i="5"/>
  <c r="D72" i="5"/>
  <c r="C72" i="5"/>
  <c r="B72" i="5"/>
  <c r="A72" i="5"/>
  <c r="E71" i="5"/>
  <c r="D71" i="5"/>
  <c r="C71" i="5"/>
  <c r="B71" i="5"/>
  <c r="A71" i="5"/>
  <c r="E70" i="5"/>
  <c r="D70" i="5"/>
  <c r="C70" i="5"/>
  <c r="B70" i="5"/>
  <c r="A70" i="5"/>
  <c r="E69" i="5"/>
  <c r="D69" i="5"/>
  <c r="C69" i="5"/>
  <c r="B69" i="5"/>
  <c r="A69" i="5"/>
  <c r="E68" i="5"/>
  <c r="D68" i="5"/>
  <c r="C68" i="5"/>
  <c r="B68" i="5"/>
  <c r="A68" i="5"/>
  <c r="E67" i="5"/>
  <c r="D67" i="5"/>
  <c r="C67" i="5"/>
  <c r="B67" i="5"/>
  <c r="A67" i="5"/>
  <c r="E66" i="5"/>
  <c r="D66" i="5"/>
  <c r="C66" i="5"/>
  <c r="B66" i="5"/>
  <c r="A66" i="5"/>
  <c r="E65" i="5"/>
  <c r="D65" i="5"/>
  <c r="C65" i="5"/>
  <c r="B65" i="5"/>
  <c r="A65" i="5"/>
  <c r="E64" i="5"/>
  <c r="D64" i="5"/>
  <c r="C64" i="5"/>
  <c r="B64" i="5"/>
  <c r="A64" i="5"/>
  <c r="E63" i="5"/>
  <c r="D63" i="5"/>
  <c r="C63" i="5"/>
  <c r="B63" i="5"/>
  <c r="A63" i="5"/>
  <c r="E62" i="5"/>
  <c r="D62" i="5"/>
  <c r="C62" i="5"/>
  <c r="B62" i="5"/>
  <c r="A62" i="5"/>
  <c r="E61" i="5"/>
  <c r="D61" i="5"/>
  <c r="C61" i="5"/>
  <c r="B61" i="5"/>
  <c r="A61" i="5"/>
  <c r="E60" i="5"/>
  <c r="D60" i="5"/>
  <c r="C60" i="5"/>
  <c r="B60" i="5"/>
  <c r="A60" i="5"/>
  <c r="E59" i="5"/>
  <c r="D59" i="5"/>
  <c r="C59" i="5"/>
  <c r="B59" i="5"/>
  <c r="A59" i="5"/>
  <c r="E58" i="5"/>
  <c r="D58" i="5"/>
  <c r="C58" i="5"/>
  <c r="B58" i="5"/>
  <c r="A58" i="5"/>
  <c r="E57" i="5"/>
  <c r="D57" i="5"/>
  <c r="C57" i="5"/>
  <c r="B57" i="5"/>
  <c r="A57" i="5"/>
  <c r="E56" i="5"/>
  <c r="D56" i="5"/>
  <c r="C56" i="5"/>
  <c r="B56" i="5"/>
  <c r="A56" i="5"/>
  <c r="E55" i="5"/>
  <c r="D55" i="5"/>
  <c r="C55" i="5"/>
  <c r="B55" i="5"/>
  <c r="A55" i="5"/>
  <c r="E54" i="5"/>
  <c r="D54" i="5"/>
  <c r="C54" i="5"/>
  <c r="B54" i="5"/>
  <c r="A54" i="5"/>
  <c r="E53" i="5"/>
  <c r="D53" i="5"/>
  <c r="C53" i="5"/>
  <c r="B53" i="5"/>
  <c r="A53" i="5"/>
  <c r="E52" i="5"/>
  <c r="D52" i="5"/>
  <c r="C52" i="5"/>
  <c r="B52" i="5"/>
  <c r="A52" i="5"/>
  <c r="E51" i="5"/>
  <c r="D51" i="5"/>
  <c r="C51" i="5"/>
  <c r="B51" i="5"/>
  <c r="A51" i="5"/>
  <c r="E50" i="5"/>
  <c r="D50" i="5"/>
  <c r="C50" i="5"/>
  <c r="B50" i="5"/>
  <c r="A50" i="5"/>
  <c r="E49" i="5"/>
  <c r="D49" i="5"/>
  <c r="C49" i="5"/>
  <c r="B49" i="5"/>
  <c r="A49" i="5"/>
  <c r="E48" i="5"/>
  <c r="D48" i="5"/>
  <c r="C48" i="5"/>
  <c r="B48" i="5"/>
  <c r="A48" i="5"/>
  <c r="E47" i="5"/>
  <c r="D47" i="5"/>
  <c r="C47" i="5"/>
  <c r="B47" i="5"/>
  <c r="A47" i="5"/>
  <c r="E46" i="5"/>
  <c r="D46" i="5"/>
  <c r="C46" i="5"/>
  <c r="B46" i="5"/>
  <c r="A46" i="5"/>
  <c r="E45" i="5"/>
  <c r="D45" i="5"/>
  <c r="C45" i="5"/>
  <c r="B45" i="5"/>
  <c r="A45" i="5"/>
  <c r="E44" i="5"/>
  <c r="D44" i="5"/>
  <c r="C44" i="5"/>
  <c r="B44" i="5"/>
  <c r="A44" i="5"/>
  <c r="E43" i="5"/>
  <c r="D43" i="5"/>
  <c r="C43" i="5"/>
  <c r="B43" i="5"/>
  <c r="A43" i="5"/>
  <c r="E42" i="5"/>
  <c r="D42" i="5"/>
  <c r="C42" i="5"/>
  <c r="B42" i="5"/>
  <c r="A42" i="5"/>
  <c r="E41" i="5"/>
  <c r="D41" i="5"/>
  <c r="C41" i="5"/>
  <c r="B41" i="5"/>
  <c r="A41" i="5"/>
  <c r="E40" i="5"/>
  <c r="D40" i="5"/>
  <c r="C40" i="5"/>
  <c r="B40" i="5"/>
  <c r="A40" i="5"/>
  <c r="E39" i="5"/>
  <c r="D39" i="5"/>
  <c r="C39" i="5"/>
  <c r="B39" i="5"/>
  <c r="A39" i="5"/>
  <c r="E38" i="5"/>
  <c r="D38" i="5"/>
  <c r="C38" i="5"/>
  <c r="B38" i="5"/>
  <c r="A38" i="5"/>
  <c r="E37" i="5"/>
  <c r="D37" i="5"/>
  <c r="C37" i="5"/>
  <c r="B37" i="5"/>
  <c r="A37" i="5"/>
  <c r="E36" i="5"/>
  <c r="D36" i="5"/>
  <c r="C36" i="5"/>
  <c r="B36" i="5"/>
  <c r="A36" i="5"/>
  <c r="E35" i="5"/>
  <c r="D35" i="5"/>
  <c r="C35" i="5"/>
  <c r="B35" i="5"/>
  <c r="A35" i="5"/>
  <c r="E34" i="5"/>
  <c r="D34" i="5"/>
  <c r="C34" i="5"/>
  <c r="B34" i="5"/>
  <c r="A34" i="5"/>
  <c r="E33" i="5"/>
  <c r="D33" i="5"/>
  <c r="C33" i="5"/>
  <c r="B33" i="5"/>
  <c r="A33" i="5"/>
  <c r="E32" i="5"/>
  <c r="D32" i="5"/>
  <c r="C32" i="5"/>
  <c r="B32" i="5"/>
  <c r="A32" i="5"/>
  <c r="E31" i="5"/>
  <c r="D31" i="5"/>
  <c r="C31" i="5"/>
  <c r="B31" i="5"/>
  <c r="A31" i="5"/>
  <c r="E30" i="5"/>
  <c r="D30" i="5"/>
  <c r="C30" i="5"/>
  <c r="B30" i="5"/>
  <c r="A30" i="5"/>
  <c r="E29" i="5"/>
  <c r="D29" i="5"/>
  <c r="C29" i="5"/>
  <c r="B29" i="5"/>
  <c r="A29" i="5"/>
  <c r="E28" i="5"/>
  <c r="D28" i="5"/>
  <c r="C28" i="5"/>
  <c r="B28" i="5"/>
  <c r="A28" i="5"/>
  <c r="E27" i="5"/>
  <c r="D27" i="5"/>
  <c r="C27" i="5"/>
  <c r="B27" i="5"/>
  <c r="A27" i="5"/>
  <c r="E26" i="5"/>
  <c r="D26" i="5"/>
  <c r="C26" i="5"/>
  <c r="B26" i="5"/>
  <c r="A26" i="5"/>
  <c r="E25" i="5"/>
  <c r="D25" i="5"/>
  <c r="C25" i="5"/>
  <c r="B25" i="5"/>
  <c r="A25" i="5"/>
  <c r="E24" i="5"/>
  <c r="D24" i="5"/>
  <c r="C24" i="5"/>
  <c r="B24" i="5"/>
  <c r="A24" i="5"/>
  <c r="E23" i="5"/>
  <c r="D23" i="5"/>
  <c r="C23" i="5"/>
  <c r="B23" i="5"/>
  <c r="A23" i="5"/>
  <c r="E22" i="5"/>
  <c r="D22" i="5"/>
  <c r="C22" i="5"/>
  <c r="B22" i="5"/>
  <c r="A22" i="5"/>
  <c r="E21" i="5"/>
  <c r="D21" i="5"/>
  <c r="C21" i="5"/>
  <c r="B21" i="5"/>
  <c r="A21" i="5"/>
  <c r="E20" i="5"/>
  <c r="D20" i="5"/>
  <c r="C20" i="5"/>
  <c r="B20" i="5"/>
  <c r="A20" i="5"/>
  <c r="E19" i="5"/>
  <c r="D19" i="5"/>
  <c r="C19" i="5"/>
  <c r="B19" i="5"/>
  <c r="A19" i="5"/>
  <c r="E18" i="5"/>
  <c r="D18" i="5"/>
  <c r="C18" i="5"/>
  <c r="B18" i="5"/>
  <c r="A18" i="5"/>
  <c r="E17" i="5"/>
  <c r="D17" i="5"/>
  <c r="C17" i="5"/>
  <c r="B17" i="5"/>
  <c r="A17" i="5"/>
  <c r="E16" i="5"/>
  <c r="D16" i="5"/>
  <c r="C16" i="5"/>
  <c r="B16" i="5"/>
  <c r="A16" i="5"/>
  <c r="E15" i="5"/>
  <c r="D15" i="5"/>
  <c r="C15" i="5"/>
  <c r="B15" i="5"/>
  <c r="A15" i="5"/>
  <c r="E14" i="5"/>
  <c r="D14" i="5"/>
  <c r="C14" i="5"/>
  <c r="B14" i="5"/>
  <c r="A14" i="5"/>
  <c r="E13" i="5"/>
  <c r="D13" i="5"/>
  <c r="C13" i="5"/>
  <c r="B13" i="5"/>
  <c r="A13" i="5"/>
  <c r="E12" i="5"/>
  <c r="D12" i="5"/>
  <c r="C12" i="5"/>
  <c r="B12" i="5"/>
  <c r="A12" i="5"/>
  <c r="E11" i="5"/>
  <c r="D11" i="5"/>
  <c r="C11" i="5"/>
  <c r="B11" i="5"/>
  <c r="A11" i="5"/>
  <c r="E10" i="5"/>
  <c r="D10" i="5"/>
  <c r="C10" i="5"/>
  <c r="B10" i="5"/>
  <c r="A10" i="5"/>
  <c r="E9" i="5"/>
  <c r="D9" i="5"/>
  <c r="C9" i="5"/>
  <c r="B9" i="5"/>
  <c r="A9" i="5"/>
  <c r="G17" i="4"/>
  <c r="F17" i="4"/>
  <c r="G16" i="4"/>
  <c r="F16" i="4"/>
  <c r="G15" i="4"/>
  <c r="F15" i="4"/>
  <c r="G14" i="4"/>
  <c r="F14" i="4"/>
  <c r="G13" i="4"/>
  <c r="F13" i="4"/>
  <c r="G12" i="4"/>
  <c r="F12" i="4"/>
  <c r="G11" i="4"/>
  <c r="F11" i="4"/>
  <c r="G10" i="4"/>
  <c r="F10" i="4"/>
  <c r="G9" i="4"/>
  <c r="F9" i="4"/>
  <c r="G8" i="4"/>
  <c r="F8" i="4"/>
  <c r="I4" i="4"/>
  <c r="G4" i="4"/>
  <c r="F4" i="4"/>
  <c r="C4" i="4"/>
  <c r="A4" i="4"/>
  <c r="C32" i="3"/>
  <c r="D32" i="3" s="1"/>
  <c r="B32" i="3"/>
  <c r="C31" i="3"/>
  <c r="D31" i="3" s="1"/>
  <c r="B31" i="3"/>
  <c r="C30" i="3"/>
  <c r="D30" i="3" s="1"/>
  <c r="B30" i="3"/>
  <c r="C29" i="3"/>
  <c r="D29" i="3" s="1"/>
  <c r="B29" i="3"/>
  <c r="C28" i="3"/>
  <c r="D28" i="3" s="1"/>
  <c r="B28" i="3"/>
  <c r="C27" i="3"/>
  <c r="D27" i="3" s="1"/>
  <c r="B27" i="3"/>
  <c r="C26" i="3"/>
  <c r="D26" i="3" s="1"/>
  <c r="B26" i="3"/>
  <c r="C25" i="3"/>
  <c r="D25" i="3" s="1"/>
  <c r="B25" i="3"/>
  <c r="C24" i="3"/>
  <c r="D24" i="3" s="1"/>
  <c r="B24" i="3"/>
  <c r="C23" i="3"/>
  <c r="D23" i="3" s="1"/>
  <c r="B23" i="3"/>
  <c r="C22" i="3"/>
  <c r="D22" i="3" s="1"/>
  <c r="B22" i="3"/>
  <c r="C21" i="3"/>
  <c r="D21" i="3" s="1"/>
  <c r="B21" i="3"/>
  <c r="C20" i="3"/>
  <c r="D20" i="3" s="1"/>
  <c r="B20" i="3"/>
  <c r="C19" i="3"/>
  <c r="D19" i="3" s="1"/>
  <c r="B19" i="3"/>
  <c r="C18" i="3"/>
  <c r="D18" i="3" s="1"/>
  <c r="B18" i="3"/>
  <c r="C17" i="3"/>
  <c r="D17" i="3" s="1"/>
  <c r="B17" i="3"/>
  <c r="C13" i="3"/>
  <c r="D13" i="3" s="1"/>
  <c r="B13" i="3"/>
  <c r="C12" i="3"/>
  <c r="D12" i="3" s="1"/>
  <c r="B12" i="3"/>
  <c r="C11" i="3"/>
  <c r="D11" i="3" s="1"/>
  <c r="B11" i="3"/>
  <c r="C10" i="3"/>
  <c r="D10" i="3" s="1"/>
  <c r="B10" i="3"/>
  <c r="C9" i="3"/>
  <c r="D9" i="3" s="1"/>
  <c r="B9" i="3"/>
  <c r="C8" i="3"/>
  <c r="D8" i="3" s="1"/>
  <c r="B8" i="3"/>
  <c r="H7" i="3"/>
  <c r="I7" i="3" s="1"/>
  <c r="G7" i="3"/>
  <c r="C7" i="3"/>
  <c r="D7" i="3" s="1"/>
  <c r="B7" i="3"/>
  <c r="H6" i="3"/>
  <c r="I6" i="3" s="1"/>
  <c r="G6" i="3"/>
  <c r="C6" i="3"/>
  <c r="D6" i="3" s="1"/>
  <c r="B6" i="3"/>
  <c r="H5" i="3"/>
  <c r="I5" i="3" s="1"/>
  <c r="G5" i="3"/>
  <c r="C5" i="3"/>
  <c r="D5" i="3" s="1"/>
  <c r="B5" i="3"/>
  <c r="H4" i="3"/>
  <c r="I4" i="3" s="1"/>
  <c r="G4" i="3"/>
  <c r="C4" i="3"/>
  <c r="D4" i="3" s="1"/>
  <c r="B4" i="3"/>
  <c r="B5" i="5" l="1"/>
  <c r="B22" i="4" s="1"/>
  <c r="G5" i="5"/>
  <c r="A5" i="5"/>
  <c r="A22" i="4" s="1"/>
  <c r="E5" i="5"/>
  <c r="F5" i="5"/>
  <c r="K4" i="4" l="1"/>
  <c r="C5" i="5"/>
  <c r="C22" i="4" s="1"/>
  <c r="D5" i="5"/>
  <c r="D22" i="4" s="1"/>
  <c r="A23" i="4" l="1"/>
  <c r="G9" i="5"/>
</calcChain>
</file>

<file path=xl/sharedStrings.xml><?xml version="1.0" encoding="utf-8"?>
<sst xmlns="http://schemas.openxmlformats.org/spreadsheetml/2006/main" count="1405" uniqueCount="695">
  <si>
    <t>MARKET-CAP ANALYSIS | SECTOR, REGION AND COUNTRY SUMMARIES</t>
  </si>
  <si>
    <t>Sector</t>
  </si>
  <si>
    <t>Using Excel analysis and an interactive dashboard, how can the world Top 100 companies ranked by market capitalisation be analysed to identify leading companies, sector and regional concentration, revenue and workforce patterns, and the distribution of company size?</t>
  </si>
  <si>
    <t>Scope</t>
  </si>
  <si>
    <t>World Top 100 companies by market capitalisation as captured on 31 August 2026.</t>
  </si>
  <si>
    <t>Market ranking source</t>
  </si>
  <si>
    <t>https://companiesmarketcap.com/</t>
  </si>
  <si>
    <t>Annual data</t>
  </si>
  <si>
    <t>Company Count</t>
  </si>
  <si>
    <t>Previously missing annual/profile fields were replaced using latest company annual reports or official investor-relations disclosures where available.</t>
  </si>
  <si>
    <t>Budget rule</t>
  </si>
  <si>
    <t>Market Cap (USD bn)</t>
  </si>
  <si>
    <t>Not publicly disclosed</t>
  </si>
  <si>
    <t>Market Cap Share</t>
  </si>
  <si>
    <t>Market cap</t>
  </si>
  <si>
    <t>Region</t>
  </si>
  <si>
    <t>Point-in-time market value on 31 August 2026.</t>
  </si>
  <si>
    <t>Revenue basis</t>
  </si>
  <si>
    <t>Source TTM where already available; latest completed FY used to replace previously missing revenue.</t>
  </si>
  <si>
    <t>Employees</t>
  </si>
  <si>
    <t>Latest annual/company-disclosed headcount where available. Explicit disclosure notes are used when a consolidated headcount is not separately stated.</t>
  </si>
  <si>
    <t>No generic placeholder</t>
  </si>
  <si>
    <t>Communication Services</t>
  </si>
  <si>
    <t>Generic missing-value placeholders have been replaced with annual disclosure values or explicit disclosure notes.</t>
  </si>
  <si>
    <t>GitHub use</t>
  </si>
  <si>
    <t>Reference date</t>
  </si>
  <si>
    <t>31 August 2026</t>
  </si>
  <si>
    <t>Field</t>
  </si>
  <si>
    <t>Meaning</t>
  </si>
  <si>
    <t>Market Capitalisation (USD bn)</t>
  </si>
  <si>
    <t>Point-in-time equity value</t>
  </si>
  <si>
    <t>Revenue (USD bn)</t>
  </si>
  <si>
    <t>TTM or latest FY replacement</t>
  </si>
  <si>
    <t>Latest annual headcount</t>
  </si>
  <si>
    <t>Broad business grouping</t>
  </si>
  <si>
    <t>Geographic grouping</t>
  </si>
  <si>
    <t>Profit Margin (%)</t>
  </si>
  <si>
    <t>Retained where numeric from earlier market enrichment</t>
  </si>
  <si>
    <t>Data Status</t>
  </si>
  <si>
    <t>Year Founded</t>
  </si>
  <si>
    <t>Company formation year</t>
  </si>
  <si>
    <t>Stock Exchange</t>
  </si>
  <si>
    <t>Primary / major trading venue</t>
  </si>
  <si>
    <t>Market Source URL</t>
  </si>
  <si>
    <t>Ranking source</t>
  </si>
  <si>
    <t>Annual Data Source</t>
  </si>
  <si>
    <t>Important limitation</t>
  </si>
  <si>
    <t>Market capitalisation changes daily. Annual employee and revenue fields update on company reporting cycles, so their dates do not perfectly match the market-cap snapshot.</t>
  </si>
  <si>
    <t>Source policy</t>
  </si>
  <si>
    <t>Market ranking: CompaniesMarketCap. Annual/profile data: latest official company annual report or investor-relations disclosure where available.</t>
  </si>
  <si>
    <t>Relationship analysis</t>
  </si>
  <si>
    <t>Market capitalisation is compared with TTM operating profit margin for the SAME companies in the market-cap Top 100.</t>
  </si>
  <si>
    <t>Method</t>
  </si>
  <si>
    <t>Pearson correlation + scatter plot + linear trendline</t>
  </si>
  <si>
    <t>Missing margins</t>
  </si>
  <si>
    <t>Companies without a current numeric operating margin from the market source are excluded, not assigned a value.</t>
  </si>
  <si>
    <t>Relationship sheet</t>
  </si>
  <si>
    <t>Relationship Analysis</t>
  </si>
  <si>
    <t>Interpretation</t>
  </si>
  <si>
    <t>Correlation describes association, not causation. The R-squared value indicates how much observed margin variation is linearly associated with market cap in the matched sample.</t>
  </si>
  <si>
    <t>Margin source</t>
  </si>
  <si>
    <t>CompaniesMarketCap company operating-margin pages</t>
  </si>
  <si>
    <t>Portfolio use</t>
  </si>
  <si>
    <t>The dashboard and GitHub PDF now include the size-versus-profitability relationship as a distinct analytical finding.</t>
  </si>
  <si>
    <t>Asia-Pacific</t>
  </si>
  <si>
    <t>Consumer Discretionary</t>
  </si>
  <si>
    <t>Europe</t>
  </si>
  <si>
    <t>Consumer Staples</t>
  </si>
  <si>
    <t>Rank</t>
  </si>
  <si>
    <t>Middle East &amp; Africa</t>
  </si>
  <si>
    <t>Company ID</t>
  </si>
  <si>
    <t>Company Name</t>
  </si>
  <si>
    <t>Ticker</t>
  </si>
  <si>
    <t>Country</t>
  </si>
  <si>
    <t>Energy</t>
  </si>
  <si>
    <t>Industry</t>
  </si>
  <si>
    <t>Market Capitalisation (USD tn)</t>
  </si>
  <si>
    <t>Revenue (USD bn; TTM or latest FY)</t>
  </si>
  <si>
    <t>North America</t>
  </si>
  <si>
    <t>Operating Profit Margin (TTM, %)</t>
  </si>
  <si>
    <t>As-of Date</t>
  </si>
  <si>
    <t>Operating Margin Source URL</t>
  </si>
  <si>
    <t>Financials</t>
  </si>
  <si>
    <t>MC-001</t>
  </si>
  <si>
    <t>NVIDIA</t>
  </si>
  <si>
    <t>NVDA</t>
  </si>
  <si>
    <t>USA</t>
  </si>
  <si>
    <t>Technology</t>
  </si>
  <si>
    <t>Industrials</t>
  </si>
  <si>
    <t>Semiconductors</t>
  </si>
  <si>
    <t>NASDAQ</t>
  </si>
  <si>
    <t>Materials</t>
  </si>
  <si>
    <t>https://companiesmarketcap.com/nvidia/</t>
  </si>
  <si>
    <t>Official company annual report / investor-relations disclosure (latest completed annual disclosure retained from prior enrichment)</t>
  </si>
  <si>
    <t>31 Aug 2026 market-cap snapshot + current TTM operating margin + latest annual/company disclosure</t>
  </si>
  <si>
    <t>https://companiesmarketcap.com/nvidia/operating-margin/</t>
  </si>
  <si>
    <t>Other</t>
  </si>
  <si>
    <t>MC-002</t>
  </si>
  <si>
    <t>Apple</t>
  </si>
  <si>
    <t>AAPL</t>
  </si>
  <si>
    <t>Software</t>
  </si>
  <si>
    <t>Utilities</t>
  </si>
  <si>
    <t>https://companiesmarketcap.com/apple/</t>
  </si>
  <si>
    <t>https://companiesmarketcap.com/apple/operating-margin/</t>
  </si>
  <si>
    <t>MC-003</t>
  </si>
  <si>
    <t>Alphabet (Google)</t>
  </si>
  <si>
    <t>GOOG</t>
  </si>
  <si>
    <t>Australia</t>
  </si>
  <si>
    <t>https://companiesmarketcap.com/alphabet-google/</t>
  </si>
  <si>
    <t>Canada</t>
  </si>
  <si>
    <t>https://companiesmarketcap.com/alphabet-google/operating-margin/</t>
  </si>
  <si>
    <t>MC-004</t>
  </si>
  <si>
    <t>Microsoft</t>
  </si>
  <si>
    <t>MSFT</t>
  </si>
  <si>
    <t>China</t>
  </si>
  <si>
    <t>Denmark</t>
  </si>
  <si>
    <t>https://companiesmarketcap.com/microsoft/</t>
  </si>
  <si>
    <t>https://companiesmarketcap.com/microsoft/operating-margin/</t>
  </si>
  <si>
    <t>MC-005</t>
  </si>
  <si>
    <t>Amazon</t>
  </si>
  <si>
    <t>AMZN</t>
  </si>
  <si>
    <t>France</t>
  </si>
  <si>
    <t>E-Commerce</t>
  </si>
  <si>
    <t>Germany</t>
  </si>
  <si>
    <t>https://companiesmarketcap.com/amazon/</t>
  </si>
  <si>
    <t>https://companiesmarketcap.com/amazon/operating-margin/</t>
  </si>
  <si>
    <t>Japan</t>
  </si>
  <si>
    <t>MC-006</t>
  </si>
  <si>
    <t>TSMC</t>
  </si>
  <si>
    <t>TSM</t>
  </si>
  <si>
    <t>Taiwan</t>
  </si>
  <si>
    <t>Netherlands</t>
  </si>
  <si>
    <t>NYSE (ADR) / TWSE</t>
  </si>
  <si>
    <t>S. Arabia</t>
  </si>
  <si>
    <t>https://companiesmarketcap.com/tsmc/</t>
  </si>
  <si>
    <t>https://companiesmarketcap.com/tsmc/operating-margin/</t>
  </si>
  <si>
    <t>MC-007</t>
  </si>
  <si>
    <t>SpaceX</t>
  </si>
  <si>
    <t>SPCX</t>
  </si>
  <si>
    <t>S. Korea</t>
  </si>
  <si>
    <t>Tech</t>
  </si>
  <si>
    <t>Spain</t>
  </si>
  <si>
    <t>Switzerland</t>
  </si>
  <si>
    <t>https://companiesmarketcap.com/spacex/</t>
  </si>
  <si>
    <t>https://companiesmarketcap.com/spacex/operating-margin/</t>
  </si>
  <si>
    <t>MC-008</t>
  </si>
  <si>
    <t>Broadcom</t>
  </si>
  <si>
    <t>AVGO</t>
  </si>
  <si>
    <t>UAE</t>
  </si>
  <si>
    <t>UK</t>
  </si>
  <si>
    <t>https://companiesmarketcap.com/broadcom/</t>
  </si>
  <si>
    <t>https://companiesmarketcap.com/broadcom/operating-margin/</t>
  </si>
  <si>
    <t>MC-009</t>
  </si>
  <si>
    <t>Saudi Aramco</t>
  </si>
  <si>
    <t>2222.SR</t>
  </si>
  <si>
    <t>Oil&amp;Gas</t>
  </si>
  <si>
    <t>Saudi Exchange</t>
  </si>
  <si>
    <t>https://companiesmarketcap.com/saudi-aramco/</t>
  </si>
  <si>
    <t>https://companiesmarketcap.com/saudi-aramco/operating-margin/</t>
  </si>
  <si>
    <t>MC-010</t>
  </si>
  <si>
    <t>Meta Platforms (Facebook)</t>
  </si>
  <si>
    <t>META</t>
  </si>
  <si>
    <t>Internet</t>
  </si>
  <si>
    <t>https://companiesmarketcap.com/meta-platforms/</t>
  </si>
  <si>
    <t>https://companiesmarketcap.com/meta-platforms/operating-margin/</t>
  </si>
  <si>
    <t>MC-011</t>
  </si>
  <si>
    <t>Tesla</t>
  </si>
  <si>
    <t>TSLA</t>
  </si>
  <si>
    <t>Automakers</t>
  </si>
  <si>
    <t>https://companiesmarketcap.com/tesla/</t>
  </si>
  <si>
    <t>https://companiesmarketcap.com/tesla/operating-margin/</t>
  </si>
  <si>
    <t>MC-012</t>
  </si>
  <si>
    <t>Samsung</t>
  </si>
  <si>
    <t>005930.KS</t>
  </si>
  <si>
    <t>Korea Exchange</t>
  </si>
  <si>
    <t>RELATIONSHIP BETWEEN MARKET CAPITALISATION AND OPERATING PROFIT MARGIN</t>
  </si>
  <si>
    <t>https://companiesmarketcap.com/samsung/</t>
  </si>
  <si>
    <t>Same-company analysis for the World Top 100 by market capitalisation. Companies without a current numeric TTM operating margin are excluded from the correlation.</t>
  </si>
  <si>
    <t>Matched Companies</t>
  </si>
  <si>
    <t>https://companiesmarketcap.com/samsung/operating-margin/</t>
  </si>
  <si>
    <t>Pearson Correlation (r)</t>
  </si>
  <si>
    <t>R-squared</t>
  </si>
  <si>
    <t>MC-013</t>
  </si>
  <si>
    <t>Direction / Strength</t>
  </si>
  <si>
    <t>Berkshire Hathaway</t>
  </si>
  <si>
    <t>Largest Market Cap</t>
  </si>
  <si>
    <t>Highest Margin</t>
  </si>
  <si>
    <t>BRK-B</t>
  </si>
  <si>
    <t>Lowest Margin</t>
  </si>
  <si>
    <t>Excluded</t>
  </si>
  <si>
    <t>Investment</t>
  </si>
  <si>
    <t>NYSE</t>
  </si>
  <si>
    <t>https://companiesmarketcap.com/berkshire-hathaway/</t>
  </si>
  <si>
    <t>https://companiesmarketcap.com/berkshire-hathaway/operating-margin/</t>
  </si>
  <si>
    <t>MC-014</t>
  </si>
  <si>
    <t>Micron Technology</t>
  </si>
  <si>
    <t>MU</t>
  </si>
  <si>
    <t>https://companiesmarketcap.com/micron-technology/</t>
  </si>
  <si>
    <t>https://companiesmarketcap.com/micron-technology/operating-margin/</t>
  </si>
  <si>
    <t>MC-015</t>
  </si>
  <si>
    <t>Eli Lilly</t>
  </si>
  <si>
    <t>LLY</t>
  </si>
  <si>
    <t>Company</t>
  </si>
  <si>
    <t>Pharmaceuticals</t>
  </si>
  <si>
    <t>Operating Margin (TTM)</t>
  </si>
  <si>
    <t>Source</t>
  </si>
  <si>
    <t>How to read the result</t>
  </si>
  <si>
    <t>Companies</t>
  </si>
  <si>
    <t>https://companiesmarketcap.com/eli-lilly/</t>
  </si>
  <si>
    <t>Total Market Cap</t>
  </si>
  <si>
    <t>Largest Company</t>
  </si>
  <si>
    <t>Median Market Cap</t>
  </si>
  <si>
    <t>https://companiesmarketcap.com/eli-lilly/operating-margin/</t>
  </si>
  <si>
    <t>USA Companies</t>
  </si>
  <si>
    <t>Mkt Cap vs Margin</t>
  </si>
  <si>
    <t>MC-016</t>
  </si>
  <si>
    <t>JPMorgan Chase</t>
  </si>
  <si>
    <t>JPM</t>
  </si>
  <si>
    <t>Banks</t>
  </si>
  <si>
    <t>https://companiesmarketcap.com/jp-morgan-chase/</t>
  </si>
  <si>
    <t>https://companiesmarketcap.com/jp-morgan-chase/operating-margin/</t>
  </si>
  <si>
    <t>MC-017</t>
  </si>
  <si>
    <t>SK Hynix</t>
  </si>
  <si>
    <t>000660.KS</t>
  </si>
  <si>
    <t>Not separately stated in latest annual disclosure</t>
  </si>
  <si>
    <t>https://companiesmarketcap.com/sk-hynix/</t>
  </si>
  <si>
    <t>https://companiesmarketcap.com/sk-hynix/operating-margin/</t>
  </si>
  <si>
    <t>MC-018</t>
  </si>
  <si>
    <t>Walmart</t>
  </si>
  <si>
    <t>WMT</t>
  </si>
  <si>
    <t>Retail</t>
  </si>
  <si>
    <t>https://companiesmarketcap.com/walmart/</t>
  </si>
  <si>
    <t>https://companiesmarketcap.com/walmart/operating-margin/</t>
  </si>
  <si>
    <t>MC-019</t>
  </si>
  <si>
    <t>AMD</t>
  </si>
  <si>
    <t>https://companiesmarketcap.com/amd/</t>
  </si>
  <si>
    <t>https://companiesmarketcap.com/amd/operating-margin/</t>
  </si>
  <si>
    <t>MC-020</t>
  </si>
  <si>
    <t>Visa</t>
  </si>
  <si>
    <t>V</t>
  </si>
  <si>
    <t>Financial services</t>
  </si>
  <si>
    <t>https://companiesmarketcap.com/visa/</t>
  </si>
  <si>
    <t>https://companiesmarketcap.com/visa/operating-margin/</t>
  </si>
  <si>
    <t>MC-021</t>
  </si>
  <si>
    <t>Exxon Mobil</t>
  </si>
  <si>
    <t>XOM</t>
  </si>
  <si>
    <t>https://companiesmarketcap.com/exxon-mobil/</t>
  </si>
  <si>
    <t>https://companiesmarketcap.com/exxon-mobil/operating-margin/</t>
  </si>
  <si>
    <t>MC-022</t>
  </si>
  <si>
    <t>ASML</t>
  </si>
  <si>
    <t>NASDAQ / Euronext Amsterdam</t>
  </si>
  <si>
    <t>https://companiesmarketcap.com/asml/</t>
  </si>
  <si>
    <t>https://companiesmarketcap.com/asml/operating-margin/</t>
  </si>
  <si>
    <t>MC-023</t>
  </si>
  <si>
    <t>Johnson &amp; Johnson</t>
  </si>
  <si>
    <t>JNJ</t>
  </si>
  <si>
    <t>MARKET CAP VS PROFIT MARGIN % RELATIONSHIP</t>
  </si>
  <si>
    <t>Matched companies</t>
  </si>
  <si>
    <t>Pearson r</t>
  </si>
  <si>
    <t>https://companiesmarketcap.com/johnson-and-johnson/</t>
  </si>
  <si>
    <t>https://companiesmarketcap.com/johnson-and-johnson/operating-margin/</t>
  </si>
  <si>
    <t>MC-024</t>
  </si>
  <si>
    <t>CXMT</t>
  </si>
  <si>
    <t>688825.SS</t>
  </si>
  <si>
    <t>Shanghai Stock Exchange</t>
  </si>
  <si>
    <t>https://companiesmarketcap.com/cxmt/</t>
  </si>
  <si>
    <t>https://companiesmarketcap.com/cxmt/operating-margin/</t>
  </si>
  <si>
    <t>MC-025</t>
  </si>
  <si>
    <t>Tencent</t>
  </si>
  <si>
    <t>TCEHY</t>
  </si>
  <si>
    <t>OTC / Hong Kong Stock Exchange</t>
  </si>
  <si>
    <t>https://companiesmarketcap.com/tencent/</t>
  </si>
  <si>
    <t>https://companiesmarketcap.com/tencent/operating-margin/</t>
  </si>
  <si>
    <t>MC-026</t>
  </si>
  <si>
    <t>Mastercard</t>
  </si>
  <si>
    <t>MA</t>
  </si>
  <si>
    <t>KEY READING</t>
  </si>
  <si>
    <t>The Top 100 is highly concentrated in mega-cap technology companies and the United States remains the largest country presence. The market-cap versus operating profit margin analysis shows only a weak positive relationship, so larger company size does not strongly predict a higher operating margin. Annual revenue and employee figures provide scale context, while market capitalisation remains a point-in-time measure that changes with market prices.</t>
  </si>
  <si>
    <t>https://companiesmarketcap.com/mastercard/</t>
  </si>
  <si>
    <t>https://companiesmarketcap.com/mastercard/operating-margin/</t>
  </si>
  <si>
    <t>MC-027</t>
  </si>
  <si>
    <t>Intel</t>
  </si>
  <si>
    <t>INTC</t>
  </si>
  <si>
    <t>https://companiesmarketcap.com/intel/</t>
  </si>
  <si>
    <t>https://companiesmarketcap.com/intel/operating-margin/</t>
  </si>
  <si>
    <t>MC-028</t>
  </si>
  <si>
    <t>AbbVie</t>
  </si>
  <si>
    <t>ABBV</t>
  </si>
  <si>
    <t>https://companiesmarketcap.com/abbvie/</t>
  </si>
  <si>
    <t>https://companiesmarketcap.com/abbvie/operating-margin/</t>
  </si>
  <si>
    <t>MC-029</t>
  </si>
  <si>
    <t>Palantir</t>
  </si>
  <si>
    <t>PLTR</t>
  </si>
  <si>
    <t>https://companiesmarketcap.com/palantir/</t>
  </si>
  <si>
    <t>https://companiesmarketcap.com/palantir/operating-margin/</t>
  </si>
  <si>
    <t>MC-030</t>
  </si>
  <si>
    <t>Cisco</t>
  </si>
  <si>
    <t>CSCO</t>
  </si>
  <si>
    <t>https://companiesmarketcap.com/cisco/</t>
  </si>
  <si>
    <t>https://companiesmarketcap.com/cisco/operating-margin/</t>
  </si>
  <si>
    <t>MC-031</t>
  </si>
  <si>
    <t>Bank of America</t>
  </si>
  <si>
    <t>BAC</t>
  </si>
  <si>
    <t>https://companiesmarketcap.com/bank-of-america/</t>
  </si>
  <si>
    <t>https://companiesmarketcap.com/bank-of-america/operating-margin/</t>
  </si>
  <si>
    <t>MC-032</t>
  </si>
  <si>
    <t>Oracle</t>
  </si>
  <si>
    <t>ORCL</t>
  </si>
  <si>
    <t>https://companiesmarketcap.com/oracle/</t>
  </si>
  <si>
    <t>https://companiesmarketcap.com/oracle/operating-margin/</t>
  </si>
  <si>
    <t>MC-033</t>
  </si>
  <si>
    <t>China Construction Bank</t>
  </si>
  <si>
    <t>601939.SS</t>
  </si>
  <si>
    <t>Shanghai / Hong Kong</t>
  </si>
  <si>
    <t>https://companiesmarketcap.com/china-construction-bank/</t>
  </si>
  <si>
    <t>https://companiesmarketcap.com/china-construction-bank/operating-margin/</t>
  </si>
  <si>
    <t>MC-034</t>
  </si>
  <si>
    <t>Costco</t>
  </si>
  <si>
    <t>COST</t>
  </si>
  <si>
    <t>https://companiesmarketcap.com/costco/</t>
  </si>
  <si>
    <t>https://companiesmarketcap.com/costco/operating-margin/</t>
  </si>
  <si>
    <t>MC-035</t>
  </si>
  <si>
    <t>Chevron</t>
  </si>
  <si>
    <t>CVX</t>
  </si>
  <si>
    <t>https://companiesmarketcap.com/chevron/</t>
  </si>
  <si>
    <t>https://companiesmarketcap.com/chevron/operating-margin/</t>
  </si>
  <si>
    <t>MC-036</t>
  </si>
  <si>
    <t>Coca-Cola</t>
  </si>
  <si>
    <t>KO</t>
  </si>
  <si>
    <t>Beverages</t>
  </si>
  <si>
    <t>https://companiesmarketcap.com/coca-cola/</t>
  </si>
  <si>
    <t>https://companiesmarketcap.com/coca-cola/operating-margin/</t>
  </si>
  <si>
    <t>MC-037</t>
  </si>
  <si>
    <t>Lam Research</t>
  </si>
  <si>
    <t>LRCX</t>
  </si>
  <si>
    <t>https://companiesmarketcap.com/lam-research/</t>
  </si>
  <si>
    <t>https://companiesmarketcap.com/lam-research/operating-margin/</t>
  </si>
  <si>
    <t>MC-038</t>
  </si>
  <si>
    <t>Caterpillar</t>
  </si>
  <si>
    <t>CAT</t>
  </si>
  <si>
    <t>Machinery manufacturing</t>
  </si>
  <si>
    <t>https://companiesmarketcap.com/caterpillar/</t>
  </si>
  <si>
    <t>https://companiesmarketcap.com/caterpillar/operating-margin/</t>
  </si>
  <si>
    <t>MC-039</t>
  </si>
  <si>
    <t>Merck</t>
  </si>
  <si>
    <t>MRK</t>
  </si>
  <si>
    <t>https://companiesmarketcap.com/merck/</t>
  </si>
  <si>
    <t>https://companiesmarketcap.com/merck/operating-margin/</t>
  </si>
  <si>
    <t>MC-040</t>
  </si>
  <si>
    <t>Applied Materials</t>
  </si>
  <si>
    <t>AMAT</t>
  </si>
  <si>
    <t>https://companiesmarketcap.com/applied-materials/</t>
  </si>
  <si>
    <t>https://companiesmarketcap.com/applied-materials/operating-margin/</t>
  </si>
  <si>
    <t>MC-041</t>
  </si>
  <si>
    <t>Agricultural Bank of China</t>
  </si>
  <si>
    <t>601288.SS</t>
  </si>
  <si>
    <t>https://companiesmarketcap.com/agricultural-bank-of-china/</t>
  </si>
  <si>
    <t>https://companiesmarketcap.com/agricultural-bank-of-china/operating-margin/</t>
  </si>
  <si>
    <t>MC-042</t>
  </si>
  <si>
    <t>Roche</t>
  </si>
  <si>
    <t>RO.SW</t>
  </si>
  <si>
    <t>SIX Swiss Exchange</t>
  </si>
  <si>
    <t>https://companiesmarketcap.com/roche/</t>
  </si>
  <si>
    <t>https://companiesmarketcap.com/roche/operating-margin/</t>
  </si>
  <si>
    <t>MC-043</t>
  </si>
  <si>
    <t>HSBC</t>
  </si>
  <si>
    <t>NYSE / London Stock Exchange</t>
  </si>
  <si>
    <t>https://companiesmarketcap.com/hsbc/</t>
  </si>
  <si>
    <t>https://companiesmarketcap.com/hsbc/operating-margin/</t>
  </si>
  <si>
    <t>MC-044</t>
  </si>
  <si>
    <t>UnitedHealth</t>
  </si>
  <si>
    <t>UNH</t>
  </si>
  <si>
    <t>Healthcare</t>
  </si>
  <si>
    <t>https://companiesmarketcap.com/united-health/</t>
  </si>
  <si>
    <t>https://companiesmarketcap.com/united-health/operating-margin/</t>
  </si>
  <si>
    <t>MC-045</t>
  </si>
  <si>
    <t>General Electric</t>
  </si>
  <si>
    <t>GE</t>
  </si>
  <si>
    <t>Aerospace</t>
  </si>
  <si>
    <t>https://companiesmarketcap.com/general-electric/</t>
  </si>
  <si>
    <t>https://companiesmarketcap.com/general-electric/operating-margin/</t>
  </si>
  <si>
    <t>MC-046</t>
  </si>
  <si>
    <t>ICBC</t>
  </si>
  <si>
    <t>1398.HK</t>
  </si>
  <si>
    <t>Hong Kong / Shanghai</t>
  </si>
  <si>
    <t>Current TTM operating margin not available from source</t>
  </si>
  <si>
    <t>https://companiesmarketcap.com/icbc/</t>
  </si>
  <si>
    <t>31 Aug 2026 market-cap snapshot + latest annual/company disclosure; margin excluded from relationship analysis</t>
  </si>
  <si>
    <t>https://companiesmarketcap.com/icbc/operating-margin/</t>
  </si>
  <si>
    <t>MC-047</t>
  </si>
  <si>
    <t>Netflix</t>
  </si>
  <si>
    <t>NFLX</t>
  </si>
  <si>
    <t>https://companiesmarketcap.com/netflix/</t>
  </si>
  <si>
    <t>https://companiesmarketcap.com/netflix/operating-margin/</t>
  </si>
  <si>
    <t>MC-048</t>
  </si>
  <si>
    <t>Procter &amp; Gamble</t>
  </si>
  <si>
    <t>PG</t>
  </si>
  <si>
    <t>Consumer goods</t>
  </si>
  <si>
    <t>https://companiesmarketcap.com/procter-and-gamble/</t>
  </si>
  <si>
    <t>https://companiesmarketcap.com/procter-and-gamble/operating-margin/</t>
  </si>
  <si>
    <t>MC-049</t>
  </si>
  <si>
    <t>Morgan Stanley</t>
  </si>
  <si>
    <t>MS</t>
  </si>
  <si>
    <t>https://companiesmarketcap.com/morgan-stanley/</t>
  </si>
  <si>
    <t>https://companiesmarketcap.com/morgan-stanley/operating-margin/</t>
  </si>
  <si>
    <t>MC-050</t>
  </si>
  <si>
    <t>Home Depot</t>
  </si>
  <si>
    <t>HD</t>
  </si>
  <si>
    <t>https://companiesmarketcap.com/home-depot/</t>
  </si>
  <si>
    <t>https://companiesmarketcap.com/home-depot/operating-margin/</t>
  </si>
  <si>
    <t>MC-051</t>
  </si>
  <si>
    <t>Bank of China</t>
  </si>
  <si>
    <t>601988.SS</t>
  </si>
  <si>
    <t>https://companiesmarketcap.com/bank-of-china/</t>
  </si>
  <si>
    <t>https://companiesmarketcap.com/bank-of-china/operating-margin/</t>
  </si>
  <si>
    <t>MC-052</t>
  </si>
  <si>
    <t>Palo Alto Networks</t>
  </si>
  <si>
    <t>PANW</t>
  </si>
  <si>
    <t>https://companiesmarketcap.com/palo-alto-networks/</t>
  </si>
  <si>
    <t>https://companiesmarketcap.com/palo-alto-networks/operating-margin/</t>
  </si>
  <si>
    <t>MC-053</t>
  </si>
  <si>
    <t>Dell</t>
  </si>
  <si>
    <t>DELL</t>
  </si>
  <si>
    <t>https://companiesmarketcap.com/dell/</t>
  </si>
  <si>
    <t>https://companiesmarketcap.com/dell/operating-margin/</t>
  </si>
  <si>
    <t>MC-054</t>
  </si>
  <si>
    <t>Goldman Sachs</t>
  </si>
  <si>
    <t>GS</t>
  </si>
  <si>
    <t>https://companiesmarketcap.com/goldman-sachs/</t>
  </si>
  <si>
    <t>https://companiesmarketcap.com/goldman-sachs/operating-margin/</t>
  </si>
  <si>
    <t>MC-055</t>
  </si>
  <si>
    <t>Philip Morris International</t>
  </si>
  <si>
    <t>PM</t>
  </si>
  <si>
    <t>Tobacco</t>
  </si>
  <si>
    <t>https://companiesmarketcap.com/philip-morris/</t>
  </si>
  <si>
    <t>https://companiesmarketcap.com/philip-morris/operating-margin/</t>
  </si>
  <si>
    <t>MC-056</t>
  </si>
  <si>
    <t>Novartis</t>
  </si>
  <si>
    <t>NVS</t>
  </si>
  <si>
    <t>NYSE / SIX Swiss Exchange</t>
  </si>
  <si>
    <t>https://companiesmarketcap.com/novartis/</t>
  </si>
  <si>
    <t>https://companiesmarketcap.com/novartis/operating-margin/</t>
  </si>
  <si>
    <t>MC-057</t>
  </si>
  <si>
    <t>Alibaba</t>
  </si>
  <si>
    <t>BABA</t>
  </si>
  <si>
    <t>NYSE / Hong Kong Stock Exchange</t>
  </si>
  <si>
    <t>https://companiesmarketcap.com/alibaba/</t>
  </si>
  <si>
    <t>https://companiesmarketcap.com/alibaba/operating-margin/</t>
  </si>
  <si>
    <t>MC-058</t>
  </si>
  <si>
    <t>Royal Bank Of Canada</t>
  </si>
  <si>
    <t>RY</t>
  </si>
  <si>
    <t>NYSE / Toronto Stock Exchange</t>
  </si>
  <si>
    <t>https://companiesmarketcap.com/royal-bank-of-canada/</t>
  </si>
  <si>
    <t>https://companiesmarketcap.com/royal-bank-of-canada/operating-margin/</t>
  </si>
  <si>
    <t>MC-059</t>
  </si>
  <si>
    <t>RTX</t>
  </si>
  <si>
    <t>https://companiesmarketcap.com/raytheon-technologies/</t>
  </si>
  <si>
    <t>https://companiesmarketcap.com/raytheon-technologies/operating-margin/</t>
  </si>
  <si>
    <t>MC-060</t>
  </si>
  <si>
    <t>Wells Fargo</t>
  </si>
  <si>
    <t>WFC</t>
  </si>
  <si>
    <t>https://companiesmarketcap.com/wells-fargo/</t>
  </si>
  <si>
    <t>https://companiesmarketcap.com/wells-fargo/operating-margin/</t>
  </si>
  <si>
    <t>MC-061</t>
  </si>
  <si>
    <t>LVMH</t>
  </si>
  <si>
    <t>MC.PA</t>
  </si>
  <si>
    <t>Clothing</t>
  </si>
  <si>
    <t>Euronext Paris</t>
  </si>
  <si>
    <t>https://companiesmarketcap.com/lvmh/</t>
  </si>
  <si>
    <t>https://companiesmarketcap.com/lvmh/operating-margin/</t>
  </si>
  <si>
    <t>MC-062</t>
  </si>
  <si>
    <t>Siemens</t>
  </si>
  <si>
    <t>SIE.DE</t>
  </si>
  <si>
    <t>Engineering</t>
  </si>
  <si>
    <t>Xetra</t>
  </si>
  <si>
    <t>https://companiesmarketcap.com/siemens/</t>
  </si>
  <si>
    <t>https://companiesmarketcap.com/siemens/operating-margin/</t>
  </si>
  <si>
    <t>MC-063</t>
  </si>
  <si>
    <t>Arm Holdings</t>
  </si>
  <si>
    <t>ARM</t>
  </si>
  <si>
    <t>https://companiesmarketcap.com/arm-holdings/</t>
  </si>
  <si>
    <t>https://companiesmarketcap.com/arm-holdings/operating-margin/</t>
  </si>
  <si>
    <t>MC-064</t>
  </si>
  <si>
    <t>SAP</t>
  </si>
  <si>
    <t>NYSE / Xetra</t>
  </si>
  <si>
    <t>https://companiesmarketcap.com/sap/</t>
  </si>
  <si>
    <t>https://companiesmarketcap.com/sap/operating-margin/</t>
  </si>
  <si>
    <t>MC-065</t>
  </si>
  <si>
    <t>Mitsubishi UFJ Financial</t>
  </si>
  <si>
    <t>MUFG</t>
  </si>
  <si>
    <t>NYSE / Tokyo Stock Exchange</t>
  </si>
  <si>
    <t>https://companiesmarketcap.com/mitsubishi-ufj-financial/</t>
  </si>
  <si>
    <t>https://companiesmarketcap.com/mitsubishi-ufj-financial/operating-margin/</t>
  </si>
  <si>
    <t>MC-066</t>
  </si>
  <si>
    <t>AstraZeneca</t>
  </si>
  <si>
    <t>AZN</t>
  </si>
  <si>
    <t>NASDAQ / London Stock Exchange</t>
  </si>
  <si>
    <t>https://companiesmarketcap.com/astrazeneca/</t>
  </si>
  <si>
    <t>https://companiesmarketcap.com/astrazeneca/operating-margin/</t>
  </si>
  <si>
    <t>MC-067</t>
  </si>
  <si>
    <t>Shell</t>
  </si>
  <si>
    <t>SHEL</t>
  </si>
  <si>
    <t>https://companiesmarketcap.com/shell/</t>
  </si>
  <si>
    <t>https://companiesmarketcap.com/shell/operating-margin/</t>
  </si>
  <si>
    <t>MC-068</t>
  </si>
  <si>
    <t>Nestlé</t>
  </si>
  <si>
    <t>NESN.SW</t>
  </si>
  <si>
    <t>Food</t>
  </si>
  <si>
    <t>https://companiesmarketcap.com/nestle/</t>
  </si>
  <si>
    <t>https://companiesmarketcap.com/nestle/operating-margin/</t>
  </si>
  <si>
    <t>MC-069</t>
  </si>
  <si>
    <t>CATL</t>
  </si>
  <si>
    <t>300750.SZ</t>
  </si>
  <si>
    <t>Electricity</t>
  </si>
  <si>
    <t>Shenzhen Stock Exchange</t>
  </si>
  <si>
    <t>https://companiesmarketcap.com/catl/</t>
  </si>
  <si>
    <t>https://companiesmarketcap.com/catl/operating-margin/</t>
  </si>
  <si>
    <t>MC-070</t>
  </si>
  <si>
    <t>Arista Networks</t>
  </si>
  <si>
    <t>ANET</t>
  </si>
  <si>
    <t>https://companiesmarketcap.com/arista-networks/</t>
  </si>
  <si>
    <t>https://companiesmarketcap.com/arista-networks/operating-margin/</t>
  </si>
  <si>
    <t>MC-071</t>
  </si>
  <si>
    <t>Kweichow Moutai</t>
  </si>
  <si>
    <t>600519.SS</t>
  </si>
  <si>
    <t>Alcoholic beverages</t>
  </si>
  <si>
    <t>https://companiesmarketcap.com/kweichow-moutai/</t>
  </si>
  <si>
    <t>https://companiesmarketcap.com/kweichow-moutai/operating-margin/</t>
  </si>
  <si>
    <t>MC-072</t>
  </si>
  <si>
    <t>BHP Group</t>
  </si>
  <si>
    <t>BHP</t>
  </si>
  <si>
    <t>Mining</t>
  </si>
  <si>
    <t>NYSE / ASX</t>
  </si>
  <si>
    <t>80,000+ employees and contractors</t>
  </si>
  <si>
    <t>https://companiesmarketcap.com/bhp-group/</t>
  </si>
  <si>
    <t>https://companiesmarketcap.com/bhp-group/operating-margin/</t>
  </si>
  <si>
    <t>MC-073</t>
  </si>
  <si>
    <t>Texas Instruments</t>
  </si>
  <si>
    <t>TXN</t>
  </si>
  <si>
    <t>https://companiesmarketcap.com/texas-instruments/</t>
  </si>
  <si>
    <t>https://companiesmarketcap.com/texas-instruments/operating-margin/</t>
  </si>
  <si>
    <t>MC-074</t>
  </si>
  <si>
    <t>L'Oréal</t>
  </si>
  <si>
    <t>OR.PA</t>
  </si>
  <si>
    <t>https://companiesmarketcap.com/l-oreal/</t>
  </si>
  <si>
    <t>https://companiesmarketcap.com/l-oreal/operating-margin/</t>
  </si>
  <si>
    <t>MC-075</t>
  </si>
  <si>
    <t>PetroChina</t>
  </si>
  <si>
    <t>0857.HK</t>
  </si>
  <si>
    <t>https://companiesmarketcap.com/petro-china/</t>
  </si>
  <si>
    <t>https://companiesmarketcap.com/petro-china/operating-margin/</t>
  </si>
  <si>
    <t>MC-076</t>
  </si>
  <si>
    <t>GE Vernova</t>
  </si>
  <si>
    <t>GEV</t>
  </si>
  <si>
    <t>https://companiesmarketcap.com/ge-vernova/</t>
  </si>
  <si>
    <t>https://companiesmarketcap.com/ge-vernova/operating-margin/</t>
  </si>
  <si>
    <t>MC-077</t>
  </si>
  <si>
    <t>CrowdStrike</t>
  </si>
  <si>
    <t>CRWD</t>
  </si>
  <si>
    <t>https://companiesmarketcap.com/crowdstrike/</t>
  </si>
  <si>
    <t>https://companiesmarketcap.com/crowdstrike/operating-margin/</t>
  </si>
  <si>
    <t>MC-078</t>
  </si>
  <si>
    <t>Toyota</t>
  </si>
  <si>
    <t>TM</t>
  </si>
  <si>
    <t>https://companiesmarketcap.com/toyota/</t>
  </si>
  <si>
    <t>https://companiesmarketcap.com/toyota/operating-margin/</t>
  </si>
  <si>
    <t>MC-079</t>
  </si>
  <si>
    <t>Amgen</t>
  </si>
  <si>
    <t>AMGN</t>
  </si>
  <si>
    <t>https://companiesmarketcap.com/amgen/</t>
  </si>
  <si>
    <t>https://companiesmarketcap.com/amgen/operating-margin/</t>
  </si>
  <si>
    <t>MC-080</t>
  </si>
  <si>
    <t>Thermo Fisher Scientific</t>
  </si>
  <si>
    <t>TMO</t>
  </si>
  <si>
    <t>Diagnostics and Testing</t>
  </si>
  <si>
    <t>https://companiesmarketcap.com/thermo-fisher-scientific/</t>
  </si>
  <si>
    <t>https://companiesmarketcap.com/thermo-fisher-scientific/operating-margin/</t>
  </si>
  <si>
    <t>MC-081</t>
  </si>
  <si>
    <t>KLA</t>
  </si>
  <si>
    <t>KLAC</t>
  </si>
  <si>
    <t>https://companiesmarketcap.com/kla/</t>
  </si>
  <si>
    <t>https://companiesmarketcap.com/kla/operating-margin/</t>
  </si>
  <si>
    <t>MC-082</t>
  </si>
  <si>
    <t>Linde</t>
  </si>
  <si>
    <t>LIN</t>
  </si>
  <si>
    <t>Chemicals</t>
  </si>
  <si>
    <t>https://companiesmarketcap.com/linde/</t>
  </si>
  <si>
    <t>https://companiesmarketcap.com/linde/operating-margin/</t>
  </si>
  <si>
    <t>MC-083</t>
  </si>
  <si>
    <t>American Express</t>
  </si>
  <si>
    <t>AXP</t>
  </si>
  <si>
    <t>https://companiesmarketcap.com/american-express/</t>
  </si>
  <si>
    <t>https://companiesmarketcap.com/american-express/operating-margin/</t>
  </si>
  <si>
    <t>MC-084</t>
  </si>
  <si>
    <t>IBM</t>
  </si>
  <si>
    <t>https://companiesmarketcap.com/ibm/</t>
  </si>
  <si>
    <t>https://companiesmarketcap.com/ibm/operating-margin/</t>
  </si>
  <si>
    <t>MC-085</t>
  </si>
  <si>
    <t>International Holding Company</t>
  </si>
  <si>
    <t>IHC.AE</t>
  </si>
  <si>
    <t>Abu Dhabi Securities Exchange</t>
  </si>
  <si>
    <t>Consolidated headcount not separately stated</t>
  </si>
  <si>
    <t>https://companiesmarketcap.com/international-holding-company/</t>
  </si>
  <si>
    <t>https://companiesmarketcap.com/international-holding-company/operating-margin/</t>
  </si>
  <si>
    <t>MC-086</t>
  </si>
  <si>
    <t>Citigroup</t>
  </si>
  <si>
    <t>C</t>
  </si>
  <si>
    <t>https://companiesmarketcap.com/citigroup/</t>
  </si>
  <si>
    <t>https://companiesmarketcap.com/citigroup/operating-margin/</t>
  </si>
  <si>
    <t>MC-087</t>
  </si>
  <si>
    <t>China Mobile</t>
  </si>
  <si>
    <t>0941.HK</t>
  </si>
  <si>
    <t>Telecommunication</t>
  </si>
  <si>
    <t>Hong Kong Stock Exchange</t>
  </si>
  <si>
    <t>https://companiesmarketcap.com/china-mobile/</t>
  </si>
  <si>
    <t>https://companiesmarketcap.com/china-mobile/operating-margin/</t>
  </si>
  <si>
    <t>MC-088</t>
  </si>
  <si>
    <t>Sandisk</t>
  </si>
  <si>
    <t>SNDK</t>
  </si>
  <si>
    <t>https://companiesmarketcap.com/sandisk/</t>
  </si>
  <si>
    <t>https://companiesmarketcap.com/sandisk/operating-margin/</t>
  </si>
  <si>
    <t>MC-089</t>
  </si>
  <si>
    <t>Salesforce</t>
  </si>
  <si>
    <t>CRM</t>
  </si>
  <si>
    <t>https://companiesmarketcap.com/salesforce/</t>
  </si>
  <si>
    <t>https://companiesmarketcap.com/salesforce/operating-margin/</t>
  </si>
  <si>
    <t>MC-090</t>
  </si>
  <si>
    <t>Santander</t>
  </si>
  <si>
    <t>SAN</t>
  </si>
  <si>
    <t>NYSE / Bolsa de Madrid</t>
  </si>
  <si>
    <t>https://companiesmarketcap.com/santander/</t>
  </si>
  <si>
    <t>https://companiesmarketcap.com/santander/operating-margin/</t>
  </si>
  <si>
    <t>MC-091</t>
  </si>
  <si>
    <t>Inditex</t>
  </si>
  <si>
    <t>ITX.MC</t>
  </si>
  <si>
    <t>Bolsa de Madrid</t>
  </si>
  <si>
    <t>https://companiesmarketcap.com/inditex/</t>
  </si>
  <si>
    <t>https://companiesmarketcap.com/inditex/operating-margin/</t>
  </si>
  <si>
    <t>MC-092</t>
  </si>
  <si>
    <t>Verizon</t>
  </si>
  <si>
    <t>VZ</t>
  </si>
  <si>
    <t>https://companiesmarketcap.com/verizon/</t>
  </si>
  <si>
    <t>https://companiesmarketcap.com/verizon/operating-margin/</t>
  </si>
  <si>
    <t>MC-093</t>
  </si>
  <si>
    <t>Novo Nordisk</t>
  </si>
  <si>
    <t>NVO</t>
  </si>
  <si>
    <t>NYSE / Nasdaq Copenhagen</t>
  </si>
  <si>
    <t>https://companiesmarketcap.com/novo-nordisk/</t>
  </si>
  <si>
    <t>https://companiesmarketcap.com/novo-nordisk/operating-margin/</t>
  </si>
  <si>
    <t>MC-094</t>
  </si>
  <si>
    <t>Allianz SE</t>
  </si>
  <si>
    <t>ALV.DE</t>
  </si>
  <si>
    <t>Insurance</t>
  </si>
  <si>
    <t>https://companiesmarketcap.com/allianz/</t>
  </si>
  <si>
    <t>https://companiesmarketcap.com/allianz/operating-margin/</t>
  </si>
  <si>
    <t>MC-095</t>
  </si>
  <si>
    <t>Toronto Dominion Bank</t>
  </si>
  <si>
    <t>TD</t>
  </si>
  <si>
    <t>https://companiesmarketcap.com/toronto-dominion-bank/</t>
  </si>
  <si>
    <t>https://companiesmarketcap.com/toronto-dominion-bank/operating-margin/</t>
  </si>
  <si>
    <t>MC-096</t>
  </si>
  <si>
    <t>MediaTek</t>
  </si>
  <si>
    <t>2454.TW</t>
  </si>
  <si>
    <t>Taiwan Stock Exchange</t>
  </si>
  <si>
    <t>https://companiesmarketcap.com/mediatek/</t>
  </si>
  <si>
    <t>https://companiesmarketcap.com/mediatek/operating-margin/</t>
  </si>
  <si>
    <t>MC-097</t>
  </si>
  <si>
    <t>Amphenol</t>
  </si>
  <si>
    <t>APH</t>
  </si>
  <si>
    <t>Electronic Components</t>
  </si>
  <si>
    <t>https://amphenol.com/about</t>
  </si>
  <si>
    <t>https://companiesmarketcap.com/amphenol/operating-margin/</t>
  </si>
  <si>
    <t>MC-098</t>
  </si>
  <si>
    <t>TotalEnergies</t>
  </si>
  <si>
    <t>TTE</t>
  </si>
  <si>
    <t>Euronext Paris / NYSE</t>
  </si>
  <si>
    <t>https://totalenergies.com/investors/publications-and-regulated-information/regulated-information/annual-financial-reports</t>
  </si>
  <si>
    <t>https://companiesmarketcap.com/totalenergies/operating-margin/</t>
  </si>
  <si>
    <t>MC-099</t>
  </si>
  <si>
    <t>Prosus</t>
  </si>
  <si>
    <t>PRX.AS</t>
  </si>
  <si>
    <t>Euronext Amsterdam</t>
  </si>
  <si>
    <t>https://companiesmarketcap.com/prosus/</t>
  </si>
  <si>
    <t>https://companiesmarketcap.com/prosus/operating-margin/</t>
  </si>
  <si>
    <t>MC-100</t>
  </si>
  <si>
    <t>T-Mobile US</t>
  </si>
  <si>
    <t>TMUS</t>
  </si>
  <si>
    <t>https://investor.t-mobile.com/financials/annual-reports/default.aspx</t>
  </si>
  <si>
    <t>https://companiesmarketcap.com/t-mobile-us/operating-margin/</t>
  </si>
  <si>
    <t>WORLD TOP 100 COMPANIES BY MARKET CAPITALISATION</t>
  </si>
  <si>
    <t>Not available</t>
  </si>
  <si>
    <t>Excel Project Title</t>
  </si>
  <si>
    <t xml:space="preserve">WORLD TOP 100 COMPANIES BY MARKET CAPITALISATION </t>
  </si>
  <si>
    <t>PDF preview in the repository README and the Excel workbook as the downloadable analysis file.</t>
  </si>
  <si>
    <t xml:space="preserve">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</si>
</sst>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0"/>
    <numFmt numFmtId="166" formatCode="dd\-mmm\-yyyy"/>
    <numFmt numFmtId="167" formatCode="0.00\ &quot;B&quot;"/>
    <numFmt numFmtId="168" formatCode="0.00\ &quot;T&quot;"/>
  </numFmts>
  <fonts count="18">
    <font>
      <sz val="11"/>
      <color rgb="FF000000"/>
      <name val="Arial"/>
      <scheme val="minor"/>
    </font>
    <font>
      <b/>
      <sz val="15"/>
      <color rgb="FFFFFFFF"/>
      <name val="Carlito"/>
    </font>
    <font>
      <sz val="11"/>
      <color theme="1"/>
      <name val="Carlito"/>
    </font>
    <font>
      <b/>
      <sz val="11"/>
      <color rgb="FFFFFFFF"/>
      <name val="Carlito"/>
    </font>
    <font>
      <sz val="11"/>
      <color theme="1"/>
      <name val="Arial"/>
      <family val="2"/>
      <scheme val="minor"/>
    </font>
    <font>
      <b/>
      <sz val="11"/>
      <color rgb="FF17365D"/>
      <name val="Carlito"/>
    </font>
    <font>
      <u/>
      <sz val="11"/>
      <color rgb="FF0000FF"/>
      <name val="Carlito"/>
    </font>
    <font>
      <i/>
      <sz val="11"/>
      <color rgb="FF4F5B66"/>
      <name val="Carlito"/>
    </font>
    <font>
      <b/>
      <sz val="12"/>
      <color rgb="FF17365D"/>
      <name val="Carlito"/>
    </font>
    <font>
      <b/>
      <sz val="20"/>
      <color rgb="FFFFFFFF"/>
      <name val="Carlito"/>
    </font>
    <font>
      <b/>
      <sz val="11"/>
      <color theme="1"/>
      <name val="Carlito"/>
    </font>
    <font>
      <b/>
      <sz val="22"/>
      <color theme="1"/>
      <name val="Carlito"/>
    </font>
    <font>
      <b/>
      <sz val="14"/>
      <color theme="1"/>
      <name val="Carlito"/>
    </font>
    <font>
      <b/>
      <sz val="20"/>
      <color theme="3" tint="4.9989318521683403E-2"/>
      <name val="Carlito"/>
    </font>
    <font>
      <sz val="20"/>
      <color theme="3" tint="4.9989318521683403E-2"/>
      <name val="Arial"/>
      <family val="2"/>
      <scheme val="minor"/>
    </font>
    <font>
      <b/>
      <sz val="16"/>
      <color rgb="FF000000"/>
      <name val="Arial"/>
      <family val="2"/>
      <scheme val="minor"/>
    </font>
    <font>
      <b/>
      <sz val="26"/>
      <color rgb="FFFFFFFF"/>
      <name val="Carlito"/>
    </font>
    <font>
      <b/>
      <sz val="26"/>
      <color rgb="FF000000"/>
      <name val="Arial"/>
      <family val="2"/>
      <scheme val="minor"/>
    </font>
  </fonts>
  <fills count="13">
    <fill>
      <patternFill patternType="none"/>
    </fill>
    <fill>
      <patternFill patternType="gray125"/>
    </fill>
    <fill>
      <patternFill patternType="solid">
        <fgColor rgb="FF17365D"/>
        <bgColor rgb="FF17365D"/>
      </patternFill>
    </fill>
    <fill>
      <patternFill patternType="solid">
        <fgColor rgb="FF1F4E78"/>
        <bgColor rgb="FF1F4E78"/>
      </patternFill>
    </fill>
    <fill>
      <patternFill patternType="solid">
        <fgColor rgb="FFEAF2F8"/>
        <bgColor rgb="FFEAF2F8"/>
      </patternFill>
    </fill>
    <fill>
      <patternFill patternType="solid">
        <fgColor rgb="FFD9EAF7"/>
        <bgColor rgb="FFD9EAF7"/>
      </patternFill>
    </fill>
    <fill>
      <patternFill patternType="solid">
        <fgColor rgb="FF92D050"/>
        <bgColor rgb="FF17365D"/>
      </patternFill>
    </fill>
    <fill>
      <patternFill patternType="solid">
        <fgColor rgb="FF92D050"/>
        <bgColor indexed="64"/>
      </patternFill>
    </fill>
    <fill>
      <patternFill patternType="solid">
        <fgColor rgb="FFFFC000"/>
        <bgColor rgb="FF1F4E78"/>
      </patternFill>
    </fill>
    <fill>
      <patternFill patternType="solid">
        <fgColor rgb="FFFFFF00"/>
        <bgColor indexed="64"/>
      </patternFill>
    </fill>
    <fill>
      <patternFill patternType="solid">
        <fgColor rgb="FFFFC000"/>
        <bgColor indexed="64"/>
      </patternFill>
    </fill>
    <fill>
      <patternFill patternType="solid">
        <fgColor rgb="FFFF0000"/>
        <bgColor rgb="FF17365D"/>
      </patternFill>
    </fill>
    <fill>
      <patternFill patternType="solid">
        <fgColor rgb="FFFF0000"/>
        <bgColor indexed="64"/>
      </patternFill>
    </fill>
  </fills>
  <borders count="1">
    <border>
      <left/>
      <right/>
      <top/>
      <bottom/>
      <diagonal/>
    </border>
  </borders>
  <cellStyleXfs count="1">
    <xf numFmtId="0" fontId="0" fillId="0" borderId="0"/>
  </cellStyleXfs>
  <cellXfs count="47">
    <xf numFmtId="0" fontId="0" fillId="0" borderId="0" xfId="0"/>
    <xf numFmtId="0" fontId="2" fillId="0" borderId="0" xfId="0" applyFont="1" applyAlignment="1">
      <alignment wrapText="1"/>
    </xf>
    <xf numFmtId="0" fontId="3" fillId="3" borderId="0" xfId="0" applyFont="1" applyFill="1" applyAlignment="1">
      <alignment horizontal="center" vertical="center" wrapText="1"/>
    </xf>
    <xf numFmtId="0" fontId="4" fillId="0" borderId="0" xfId="0" applyFont="1"/>
    <xf numFmtId="0" fontId="5" fillId="0" borderId="0" xfId="0" applyFont="1" applyAlignment="1">
      <alignment wrapText="1"/>
    </xf>
    <xf numFmtId="164" fontId="2" fillId="0" borderId="0" xfId="0" applyNumberFormat="1" applyFont="1"/>
    <xf numFmtId="1" fontId="2" fillId="0" borderId="0" xfId="0" applyNumberFormat="1" applyFont="1" applyAlignment="1">
      <alignment vertical="center" wrapText="1"/>
    </xf>
    <xf numFmtId="0" fontId="2" fillId="0" borderId="0" xfId="0" applyFont="1" applyAlignment="1">
      <alignment vertical="center" wrapText="1"/>
    </xf>
    <xf numFmtId="2" fontId="2" fillId="0" borderId="0" xfId="0" applyNumberFormat="1" applyFont="1" applyAlignment="1">
      <alignment vertical="center" wrapText="1"/>
    </xf>
    <xf numFmtId="165" fontId="2" fillId="0" borderId="0" xfId="0" applyNumberFormat="1" applyFont="1" applyAlignment="1">
      <alignment vertical="center" wrapText="1"/>
    </xf>
    <xf numFmtId="10" fontId="2" fillId="0" borderId="0" xfId="0" applyNumberFormat="1" applyFont="1" applyAlignment="1">
      <alignment vertical="center" wrapText="1"/>
    </xf>
    <xf numFmtId="166" fontId="2" fillId="0" borderId="0" xfId="0" applyNumberFormat="1" applyFont="1" applyAlignment="1">
      <alignment vertical="center" wrapText="1"/>
    </xf>
    <xf numFmtId="0" fontId="5" fillId="4" borderId="0" xfId="0" applyFont="1" applyFill="1" applyAlignment="1">
      <alignment horizontal="center" vertical="center"/>
    </xf>
    <xf numFmtId="165" fontId="5" fillId="4" borderId="0" xfId="0" applyNumberFormat="1" applyFont="1" applyFill="1" applyAlignment="1">
      <alignment horizontal="center" vertical="center"/>
    </xf>
    <xf numFmtId="167" fontId="5" fillId="4" borderId="0" xfId="0" applyNumberFormat="1" applyFont="1" applyFill="1" applyAlignment="1">
      <alignment horizontal="center" vertical="center"/>
    </xf>
    <xf numFmtId="10" fontId="5" fillId="4" borderId="0" xfId="0" applyNumberFormat="1" applyFont="1" applyFill="1" applyAlignment="1">
      <alignment horizontal="center" vertical="center"/>
    </xf>
    <xf numFmtId="2" fontId="2" fillId="0" borderId="0" xfId="0" applyNumberFormat="1" applyFont="1" applyAlignment="1">
      <alignment wrapText="1"/>
    </xf>
    <xf numFmtId="0" fontId="5" fillId="5" borderId="0" xfId="0" applyFont="1" applyFill="1" applyAlignment="1">
      <alignment horizontal="center" vertical="center"/>
    </xf>
    <xf numFmtId="10" fontId="2" fillId="0" borderId="0" xfId="0" applyNumberFormat="1" applyFont="1" applyAlignment="1">
      <alignment wrapText="1"/>
    </xf>
    <xf numFmtId="0" fontId="6" fillId="0" borderId="0" xfId="0" applyFont="1" applyAlignment="1">
      <alignment wrapText="1"/>
    </xf>
    <xf numFmtId="168" fontId="2" fillId="0" borderId="0" xfId="0" applyNumberFormat="1" applyFont="1"/>
    <xf numFmtId="0" fontId="2" fillId="0" borderId="0" xfId="0" applyFont="1" applyAlignment="1">
      <alignment vertical="top" wrapText="1"/>
    </xf>
    <xf numFmtId="167" fontId="2" fillId="0" borderId="0" xfId="0" applyNumberFormat="1" applyFont="1"/>
    <xf numFmtId="0" fontId="5" fillId="0" borderId="0" xfId="0" applyFont="1" applyAlignment="1">
      <alignment horizontal="center"/>
    </xf>
    <xf numFmtId="0" fontId="5" fillId="4" borderId="0" xfId="0" applyFont="1" applyFill="1" applyAlignment="1">
      <alignment horizontal="center" vertical="center" wrapText="1"/>
    </xf>
    <xf numFmtId="165" fontId="5" fillId="4" borderId="0" xfId="0" applyNumberFormat="1" applyFont="1" applyFill="1" applyAlignment="1">
      <alignment horizontal="center" vertical="center" wrapText="1"/>
    </xf>
    <xf numFmtId="164" fontId="5" fillId="4" borderId="0" xfId="0" applyNumberFormat="1" applyFont="1" applyFill="1" applyAlignment="1">
      <alignment horizontal="center" vertical="center" wrapText="1"/>
    </xf>
    <xf numFmtId="0" fontId="0" fillId="7" borderId="0" xfId="0" applyFill="1"/>
    <xf numFmtId="0" fontId="3" fillId="8" borderId="0" xfId="0" applyFont="1" applyFill="1" applyAlignment="1">
      <alignment horizontal="center" vertical="center" wrapText="1"/>
    </xf>
    <xf numFmtId="0" fontId="10" fillId="0" borderId="0" xfId="0" applyFont="1" applyAlignment="1">
      <alignment vertical="center" wrapText="1"/>
    </xf>
    <xf numFmtId="0" fontId="1" fillId="2" borderId="0" xfId="0" applyFont="1" applyFill="1" applyAlignment="1">
      <alignment horizontal="center" vertical="center"/>
    </xf>
    <xf numFmtId="0" fontId="0" fillId="0" borderId="0" xfId="0"/>
    <xf numFmtId="0" fontId="9" fillId="6" borderId="0" xfId="0" applyFont="1" applyFill="1" applyAlignment="1">
      <alignment horizontal="left" vertical="center" wrapText="1"/>
    </xf>
    <xf numFmtId="0" fontId="5" fillId="5" borderId="0" xfId="0" applyFont="1" applyFill="1" applyAlignment="1">
      <alignment horizontal="center" vertical="center" wrapText="1"/>
    </xf>
    <xf numFmtId="0" fontId="7" fillId="0" borderId="0" xfId="0" applyFont="1" applyAlignment="1">
      <alignment vertical="top" wrapText="1"/>
    </xf>
    <xf numFmtId="0" fontId="8" fillId="5" borderId="0" xfId="0" applyFont="1" applyFill="1" applyAlignment="1">
      <alignment horizontal="center" vertical="center" wrapText="1"/>
    </xf>
    <xf numFmtId="0" fontId="2" fillId="0" borderId="0" xfId="0" applyFont="1" applyAlignment="1">
      <alignment vertical="top" wrapText="1"/>
    </xf>
    <xf numFmtId="0" fontId="3" fillId="3" borderId="0" xfId="0" applyFont="1" applyFill="1" applyAlignment="1">
      <alignment horizontal="center" vertical="center" wrapText="1"/>
    </xf>
    <xf numFmtId="0" fontId="11" fillId="9" borderId="0" xfId="0" applyFont="1" applyFill="1" applyAlignment="1">
      <alignment wrapText="1"/>
    </xf>
    <xf numFmtId="0" fontId="12" fillId="10" borderId="0" xfId="0" applyFont="1" applyFill="1" applyAlignment="1">
      <alignment horizontal="left" wrapText="1"/>
    </xf>
    <xf numFmtId="0" fontId="13" fillId="11" borderId="0" xfId="0" applyFont="1" applyFill="1" applyAlignment="1">
      <alignment horizontal="center" vertical="center"/>
    </xf>
    <xf numFmtId="0" fontId="14" fillId="12" borderId="0" xfId="0" applyFont="1" applyFill="1"/>
    <xf numFmtId="0" fontId="15" fillId="12" borderId="0" xfId="0" applyFont="1" applyFill="1" applyAlignment="1">
      <alignment horizontal="center"/>
    </xf>
    <xf numFmtId="0" fontId="16" fillId="2" borderId="0" xfId="0" applyFont="1" applyFill="1" applyAlignment="1">
      <alignment horizontal="center" vertical="center"/>
    </xf>
    <xf numFmtId="0" fontId="17" fillId="0" borderId="0" xfId="0" applyFont="1"/>
    <xf numFmtId="0" fontId="2" fillId="9" borderId="0" xfId="0" applyFont="1" applyFill="1" applyAlignment="1">
      <alignment horizontal="center" wrapText="1"/>
    </xf>
    <xf numFmtId="0" fontId="0" fillId="9" borderId="0" xfId="0" applyFill="1"/>
  </cellXfs>
  <cellStyles count="1">
    <cellStyle name="Normal" xfId="0" builtinId="0"/>
  </cellStyles>
  <dxfs count="8">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rgb="FF1F4E78"/>
          <bgColor rgb="FFFFC000"/>
        </patternFill>
      </fill>
      <alignment horizontal="center" vertical="center" textRotation="0" wrapText="1" indent="0" justifyLastLine="0" shrinkToFit="0" readingOrder="0"/>
    </dxf>
    <dxf>
      <fill>
        <patternFill patternType="solid">
          <fgColor rgb="FF1F4E78"/>
          <bgColor rgb="FFFFC000"/>
        </patternFill>
      </fill>
    </dxf>
    <dxf>
      <fill>
        <patternFill patternType="solid">
          <fgColor rgb="FFFFFFFF"/>
          <bgColor rgb="FFFFFFFF"/>
        </patternFill>
      </fill>
    </dxf>
    <dxf>
      <fill>
        <patternFill patternType="solid">
          <fgColor rgb="FFC1E4F5"/>
          <bgColor rgb="FFC1E4F5"/>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border>
    </dxf>
  </dxfs>
  <tableStyles count="1" defaultTableStyle="TableStyleMedium2" defaultPivotStyle="PivotStyleLight16">
    <tableStyle name="Top 100 Market Cap-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GB" sz="1200" b="1" i="0">
                <a:solidFill>
                  <a:srgbClr val="757575"/>
                </a:solidFill>
                <a:latin typeface="+mn-lt"/>
              </a:rPr>
              <a:t>Top 10 companies by market capitalisation</a:t>
            </a:r>
          </a:p>
        </c:rich>
      </c:tx>
      <c:overlay val="0"/>
    </c:title>
    <c:autoTitleDeleted val="0"/>
    <c:plotArea>
      <c:layout/>
      <c:barChart>
        <c:barDir val="bar"/>
        <c:grouping val="clustered"/>
        <c:varyColors val="1"/>
        <c:ser>
          <c:idx val="0"/>
          <c:order val="0"/>
          <c:tx>
            <c:v>Market Cap (USD bn)</c:v>
          </c:tx>
          <c:spPr>
            <a:solidFill>
              <a:srgbClr val="4285F4"/>
            </a:solidFill>
            <a:ln cmpd="sng">
              <a:noFill/>
            </a:ln>
          </c:spPr>
          <c:invertIfNegative val="1"/>
          <c:cat>
            <c:strRef>
              <c:f>Dashboard!$B$8:$B$17</c:f>
              <c:strCache>
                <c:ptCount val="10"/>
                <c:pt idx="0">
                  <c:v>NVIDIA</c:v>
                </c:pt>
                <c:pt idx="1">
                  <c:v>Apple</c:v>
                </c:pt>
                <c:pt idx="2">
                  <c:v>Alphabet (Google)</c:v>
                </c:pt>
                <c:pt idx="3">
                  <c:v>Microsoft</c:v>
                </c:pt>
                <c:pt idx="4">
                  <c:v>Amazon</c:v>
                </c:pt>
                <c:pt idx="5">
                  <c:v>TSMC</c:v>
                </c:pt>
                <c:pt idx="6">
                  <c:v>SpaceX</c:v>
                </c:pt>
                <c:pt idx="7">
                  <c:v>Broadcom</c:v>
                </c:pt>
                <c:pt idx="8">
                  <c:v>Saudi Aramco</c:v>
                </c:pt>
                <c:pt idx="9">
                  <c:v>Meta Platforms (Facebook)</c:v>
                </c:pt>
              </c:strCache>
            </c:strRef>
          </c:cat>
          <c:val>
            <c:numRef>
              <c:f>Dashboard!$C$8:$C$17</c:f>
              <c:numCache>
                <c:formatCode>General</c:formatCode>
                <c:ptCount val="10"/>
                <c:pt idx="0">
                  <c:v>5306</c:v>
                </c:pt>
                <c:pt idx="1">
                  <c:v>4609</c:v>
                </c:pt>
                <c:pt idx="2">
                  <c:v>4096</c:v>
                </c:pt>
                <c:pt idx="3">
                  <c:v>3783</c:v>
                </c:pt>
                <c:pt idx="4">
                  <c:v>2794</c:v>
                </c:pt>
                <c:pt idx="5">
                  <c:v>2155</c:v>
                </c:pt>
                <c:pt idx="6">
                  <c:v>1876</c:v>
                </c:pt>
                <c:pt idx="7">
                  <c:v>1757</c:v>
                </c:pt>
                <c:pt idx="8">
                  <c:v>1679</c:v>
                </c:pt>
                <c:pt idx="9">
                  <c:v>1457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BFF-4BC3-8BBD-9C904E97D804}"/>
            </c:ext>
          </c:extLst>
        </c:ser>
        <c:dLbls>
          <c:showLegendKey val="0"/>
          <c:showVal val="0"/>
          <c:showCatName val="0"/>
          <c:showSerName val="0"/>
          <c:showPercent val="0"/>
          <c:showBubbleSize val="0"/>
        </c:dLbls>
        <c:gapWidth val="150"/>
        <c:axId val="1593688856"/>
        <c:axId val="581322203"/>
      </c:barChart>
      <c:catAx>
        <c:axId val="1593688856"/>
        <c:scaling>
          <c:orientation val="maxMin"/>
        </c:scaling>
        <c:delete val="0"/>
        <c:axPos val="l"/>
        <c:title>
          <c:tx>
            <c:rich>
              <a:bodyPr/>
              <a:lstStyle/>
              <a:p>
                <a:pPr lvl="0">
                  <a:defRPr b="0">
                    <a:solidFill>
                      <a:srgbClr val="000000"/>
                    </a:solidFill>
                    <a:latin typeface="+mn-lt"/>
                  </a:defRPr>
                </a:pPr>
                <a:endParaRPr lang="en-GB"/>
              </a:p>
            </c:rich>
          </c:tx>
          <c:overlay val="0"/>
        </c:title>
        <c:numFmt formatCode="General" sourceLinked="0"/>
        <c:majorTickMark val="none"/>
        <c:minorTickMark val="none"/>
        <c:tickLblPos val="nextTo"/>
        <c:spPr>
          <a:ln>
            <a:noFill/>
          </a:ln>
        </c:spPr>
        <c:txPr>
          <a:bodyPr/>
          <a:lstStyle/>
          <a:p>
            <a:pPr lvl="0">
              <a:defRPr b="0" i="0">
                <a:solidFill>
                  <a:srgbClr val="000000"/>
                </a:solidFill>
                <a:latin typeface="+mn-lt"/>
              </a:defRPr>
            </a:pPr>
            <a:endParaRPr lang="en-US"/>
          </a:p>
        </c:txPr>
        <c:crossAx val="581322203"/>
        <c:crosses val="autoZero"/>
        <c:auto val="1"/>
        <c:lblAlgn val="ctr"/>
        <c:lblOffset val="100"/>
        <c:noMultiLvlLbl val="1"/>
      </c:catAx>
      <c:valAx>
        <c:axId val="58132220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General" sourceLinked="0"/>
        <c:majorTickMark val="none"/>
        <c:minorTickMark val="none"/>
        <c:tickLblPos val="nextTo"/>
        <c:spPr>
          <a:ln>
            <a:noFill/>
          </a:ln>
        </c:spPr>
        <c:txPr>
          <a:bodyPr/>
          <a:lstStyle/>
          <a:p>
            <a:pPr lvl="0">
              <a:defRPr b="0" i="0">
                <a:solidFill>
                  <a:srgbClr val="000000"/>
                </a:solidFill>
                <a:latin typeface="+mn-lt"/>
              </a:defRPr>
            </a:pPr>
            <a:endParaRPr lang="en-US"/>
          </a:p>
        </c:txPr>
        <c:crossAx val="1593688856"/>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GB" sz="1200" b="1" i="0">
                <a:solidFill>
                  <a:srgbClr val="757575"/>
                </a:solidFill>
                <a:latin typeface="+mn-lt"/>
              </a:rPr>
              <a:t>Market capitalisation by sector</a:t>
            </a:r>
          </a:p>
        </c:rich>
      </c:tx>
      <c:overlay val="0"/>
    </c:title>
    <c:autoTitleDeleted val="0"/>
    <c:plotArea>
      <c:layout/>
      <c:barChart>
        <c:barDir val="bar"/>
        <c:grouping val="clustered"/>
        <c:varyColors val="1"/>
        <c:ser>
          <c:idx val="0"/>
          <c:order val="0"/>
          <c:tx>
            <c:v>Companies</c:v>
          </c:tx>
          <c:spPr>
            <a:solidFill>
              <a:srgbClr val="4285F4"/>
            </a:solidFill>
            <a:ln cmpd="sng">
              <a:noFill/>
            </a:ln>
          </c:spPr>
          <c:invertIfNegative val="1"/>
          <c:cat>
            <c:strRef>
              <c:f>Dashboard!$E$8:$E$17</c:f>
              <c:strCache>
                <c:ptCount val="10"/>
                <c:pt idx="0">
                  <c:v>Communication Services</c:v>
                </c:pt>
                <c:pt idx="1">
                  <c:v>Consumer Discretionary</c:v>
                </c:pt>
                <c:pt idx="2">
                  <c:v>Consumer Staples</c:v>
                </c:pt>
                <c:pt idx="3">
                  <c:v>Energy</c:v>
                </c:pt>
                <c:pt idx="4">
                  <c:v>Financials</c:v>
                </c:pt>
                <c:pt idx="5">
                  <c:v>Industrials</c:v>
                </c:pt>
                <c:pt idx="6">
                  <c:v>Materials</c:v>
                </c:pt>
                <c:pt idx="7">
                  <c:v>Other</c:v>
                </c:pt>
                <c:pt idx="8">
                  <c:v>Technology</c:v>
                </c:pt>
                <c:pt idx="9">
                  <c:v>Utilities</c:v>
                </c:pt>
              </c:strCache>
            </c:strRef>
          </c:cat>
          <c:val>
            <c:numRef>
              <c:f>Dashboard!$F$8:$F$17</c:f>
              <c:numCache>
                <c:formatCode>General</c:formatCode>
                <c:ptCount val="10"/>
                <c:pt idx="0">
                  <c:v>3</c:v>
                </c:pt>
                <c:pt idx="1">
                  <c:v>7</c:v>
                </c:pt>
                <c:pt idx="2">
                  <c:v>4</c:v>
                </c:pt>
                <c:pt idx="3">
                  <c:v>7</c:v>
                </c:pt>
                <c:pt idx="4">
                  <c:v>23</c:v>
                </c:pt>
                <c:pt idx="5">
                  <c:v>3</c:v>
                </c:pt>
                <c:pt idx="6">
                  <c:v>2</c:v>
                </c:pt>
                <c:pt idx="7">
                  <c:v>2</c:v>
                </c:pt>
                <c:pt idx="8">
                  <c:v>48</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49B-4875-9EFA-76333B810561}"/>
            </c:ext>
          </c:extLst>
        </c:ser>
        <c:ser>
          <c:idx val="1"/>
          <c:order val="1"/>
          <c:tx>
            <c:v>Market Cap (USD bn)</c:v>
          </c:tx>
          <c:spPr>
            <a:solidFill>
              <a:srgbClr val="EA4335"/>
            </a:solidFill>
            <a:ln cmpd="sng">
              <a:noFill/>
            </a:ln>
          </c:spPr>
          <c:invertIfNegative val="1"/>
          <c:cat>
            <c:strRef>
              <c:f>Dashboard!$E$8:$E$17</c:f>
              <c:strCache>
                <c:ptCount val="10"/>
                <c:pt idx="0">
                  <c:v>Communication Services</c:v>
                </c:pt>
                <c:pt idx="1">
                  <c:v>Consumer Discretionary</c:v>
                </c:pt>
                <c:pt idx="2">
                  <c:v>Consumer Staples</c:v>
                </c:pt>
                <c:pt idx="3">
                  <c:v>Energy</c:v>
                </c:pt>
                <c:pt idx="4">
                  <c:v>Financials</c:v>
                </c:pt>
                <c:pt idx="5">
                  <c:v>Industrials</c:v>
                </c:pt>
                <c:pt idx="6">
                  <c:v>Materials</c:v>
                </c:pt>
                <c:pt idx="7">
                  <c:v>Other</c:v>
                </c:pt>
                <c:pt idx="8">
                  <c:v>Technology</c:v>
                </c:pt>
                <c:pt idx="9">
                  <c:v>Utilities</c:v>
                </c:pt>
              </c:strCache>
            </c:strRef>
          </c:cat>
          <c:val>
            <c:numRef>
              <c:f>Dashboard!$G$8:$G$17</c:f>
              <c:numCache>
                <c:formatCode>General</c:formatCode>
                <c:ptCount val="10"/>
                <c:pt idx="0">
                  <c:v>622.03</c:v>
                </c:pt>
                <c:pt idx="1">
                  <c:v>2627.2700000000004</c:v>
                </c:pt>
                <c:pt idx="2">
                  <c:v>1168.26</c:v>
                </c:pt>
                <c:pt idx="3">
                  <c:v>3663.42</c:v>
                </c:pt>
                <c:pt idx="4">
                  <c:v>8731.2000000000007</c:v>
                </c:pt>
                <c:pt idx="5">
                  <c:v>888.9</c:v>
                </c:pt>
                <c:pt idx="6">
                  <c:v>463.84000000000003</c:v>
                </c:pt>
                <c:pt idx="7">
                  <c:v>598.52</c:v>
                </c:pt>
                <c:pt idx="8">
                  <c:v>45332.449999999975</c:v>
                </c:pt>
                <c:pt idx="9">
                  <c:v>250.33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F49B-4875-9EFA-76333B810561}"/>
            </c:ext>
          </c:extLst>
        </c:ser>
        <c:dLbls>
          <c:showLegendKey val="0"/>
          <c:showVal val="0"/>
          <c:showCatName val="0"/>
          <c:showSerName val="0"/>
          <c:showPercent val="0"/>
          <c:showBubbleSize val="0"/>
        </c:dLbls>
        <c:gapWidth val="150"/>
        <c:axId val="1463232190"/>
        <c:axId val="793800612"/>
      </c:barChart>
      <c:catAx>
        <c:axId val="1463232190"/>
        <c:scaling>
          <c:orientation val="maxMin"/>
        </c:scaling>
        <c:delete val="0"/>
        <c:axPos val="l"/>
        <c:title>
          <c:tx>
            <c:rich>
              <a:bodyPr/>
              <a:lstStyle/>
              <a:p>
                <a:pPr lvl="0">
                  <a:defRPr b="0">
                    <a:solidFill>
                      <a:srgbClr val="000000"/>
                    </a:solidFill>
                    <a:latin typeface="+mn-lt"/>
                  </a:defRPr>
                </a:pPr>
                <a:endParaRPr lang="en-GB"/>
              </a:p>
            </c:rich>
          </c:tx>
          <c:overlay val="0"/>
        </c:title>
        <c:numFmt formatCode="General" sourceLinked="0"/>
        <c:majorTickMark val="none"/>
        <c:minorTickMark val="none"/>
        <c:tickLblPos val="nextTo"/>
        <c:spPr>
          <a:ln>
            <a:noFill/>
          </a:ln>
        </c:spPr>
        <c:txPr>
          <a:bodyPr/>
          <a:lstStyle/>
          <a:p>
            <a:pPr lvl="0">
              <a:defRPr b="0" i="0">
                <a:solidFill>
                  <a:srgbClr val="000000"/>
                </a:solidFill>
                <a:latin typeface="+mn-lt"/>
              </a:defRPr>
            </a:pPr>
            <a:endParaRPr lang="en-US"/>
          </a:p>
        </c:txPr>
        <c:crossAx val="793800612"/>
        <c:crosses val="autoZero"/>
        <c:auto val="1"/>
        <c:lblAlgn val="ctr"/>
        <c:lblOffset val="100"/>
        <c:noMultiLvlLbl val="1"/>
      </c:catAx>
      <c:valAx>
        <c:axId val="79380061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General" sourceLinked="0"/>
        <c:majorTickMark val="none"/>
        <c:minorTickMark val="none"/>
        <c:tickLblPos val="nextTo"/>
        <c:spPr>
          <a:ln>
            <a:noFill/>
          </a:ln>
        </c:spPr>
        <c:txPr>
          <a:bodyPr/>
          <a:lstStyle/>
          <a:p>
            <a:pPr lvl="0">
              <a:defRPr b="0" i="0">
                <a:solidFill>
                  <a:srgbClr val="000000"/>
                </a:solidFill>
                <a:latin typeface="+mn-lt"/>
              </a:defRPr>
            </a:pPr>
            <a:endParaRPr lang="en-US"/>
          </a:p>
        </c:txPr>
        <c:crossAx val="1463232190"/>
        <c:crosses val="max"/>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GB" sz="1200" b="1" i="0">
                <a:solidFill>
                  <a:srgbClr val="757575"/>
                </a:solidFill>
                <a:latin typeface="+mn-lt"/>
              </a:rPr>
              <a:t>Market Cap vs Operating Profit Margin</a:t>
            </a:r>
          </a:p>
        </c:rich>
      </c:tx>
      <c:overlay val="0"/>
    </c:title>
    <c:autoTitleDeleted val="0"/>
    <c:plotArea>
      <c:layout/>
      <c:scatterChart>
        <c:scatterStyle val="lineMarker"/>
        <c:varyColors val="0"/>
        <c:ser>
          <c:idx val="0"/>
          <c:order val="0"/>
          <c:tx>
            <c:v>Operating Margin (TTM)</c:v>
          </c:tx>
          <c:spPr>
            <a:ln>
              <a:noFill/>
            </a:ln>
          </c:spPr>
          <c:marker>
            <c:symbol val="circle"/>
            <c:size val="7"/>
            <c:spPr>
              <a:solidFill>
                <a:srgbClr val="4285F4"/>
              </a:solidFill>
              <a:ln cmpd="sng">
                <a:solidFill>
                  <a:srgbClr val="4285F4"/>
                </a:solidFill>
              </a:ln>
            </c:spPr>
          </c:marker>
          <c:trendline>
            <c:name>Linear (Operating Margin (TTM))</c:name>
            <c:spPr>
              <a:ln w="19050">
                <a:solidFill>
                  <a:srgbClr val="000000">
                    <a:alpha val="0"/>
                  </a:srgbClr>
                </a:solidFill>
              </a:ln>
            </c:spPr>
            <c:trendlineType val="linear"/>
            <c:dispRSqr val="0"/>
            <c:dispEq val="0"/>
          </c:trendline>
          <c:yVal>
            <c:numRef>
              <c:f>'Relationship Analysis'!$C$9:$C$103</c:f>
              <c:numCache>
                <c:formatCode>0.00%</c:formatCode>
                <c:ptCount val="95"/>
                <c:pt idx="0">
                  <c:v>0.74849999999999994</c:v>
                </c:pt>
                <c:pt idx="1">
                  <c:v>0.31890000000000002</c:v>
                </c:pt>
                <c:pt idx="2">
                  <c:v>0.46310000000000001</c:v>
                </c:pt>
                <c:pt idx="3">
                  <c:v>0.4854</c:v>
                </c:pt>
                <c:pt idx="4">
                  <c:v>0.13570000000000002</c:v>
                </c:pt>
                <c:pt idx="5">
                  <c:v>0.53600000000000003</c:v>
                </c:pt>
                <c:pt idx="6">
                  <c:v>-0.22589999999999999</c:v>
                </c:pt>
                <c:pt idx="7">
                  <c:v>0.44549999999999995</c:v>
                </c:pt>
                <c:pt idx="8">
                  <c:v>0.42469999999999997</c:v>
                </c:pt>
                <c:pt idx="9">
                  <c:v>0.42229999999999995</c:v>
                </c:pt>
                <c:pt idx="10">
                  <c:v>5.9000000000000004E-2</c:v>
                </c:pt>
                <c:pt idx="11">
                  <c:v>0.25530000000000003</c:v>
                </c:pt>
                <c:pt idx="12">
                  <c:v>0.16010000000000002</c:v>
                </c:pt>
                <c:pt idx="13">
                  <c:v>0.25819999999999999</c:v>
                </c:pt>
                <c:pt idx="14">
                  <c:v>0.43070000000000003</c:v>
                </c:pt>
                <c:pt idx="15">
                  <c:v>0.39939999999999998</c:v>
                </c:pt>
                <c:pt idx="16">
                  <c:v>0.7087</c:v>
                </c:pt>
                <c:pt idx="17">
                  <c:v>4.1299999999999996E-2</c:v>
                </c:pt>
                <c:pt idx="18">
                  <c:v>0.1195</c:v>
                </c:pt>
                <c:pt idx="19">
                  <c:v>0.61480000000000001</c:v>
                </c:pt>
                <c:pt idx="20">
                  <c:v>0.11230000000000001</c:v>
                </c:pt>
                <c:pt idx="21">
                  <c:v>0.34909999999999997</c:v>
                </c:pt>
                <c:pt idx="22">
                  <c:v>0.3458</c:v>
                </c:pt>
                <c:pt idx="23">
                  <c:v>0.43189999999999995</c:v>
                </c:pt>
                <c:pt idx="24">
                  <c:v>0.36869999999999997</c:v>
                </c:pt>
                <c:pt idx="25">
                  <c:v>0.57040000000000002</c:v>
                </c:pt>
                <c:pt idx="26">
                  <c:v>2.9399999999999999E-2</c:v>
                </c:pt>
                <c:pt idx="27">
                  <c:v>9.5100000000000004E-2</c:v>
                </c:pt>
                <c:pt idx="28">
                  <c:v>0.44450000000000001</c:v>
                </c:pt>
                <c:pt idx="29">
                  <c:v>0.19589999999999999</c:v>
                </c:pt>
                <c:pt idx="30">
                  <c:v>0.34460000000000002</c:v>
                </c:pt>
                <c:pt idx="31">
                  <c:v>0.2903</c:v>
                </c:pt>
                <c:pt idx="32">
                  <c:v>0.47</c:v>
                </c:pt>
                <c:pt idx="33">
                  <c:v>3.9300000000000002E-2</c:v>
                </c:pt>
                <c:pt idx="34">
                  <c:v>0.10460000000000001</c:v>
                </c:pt>
                <c:pt idx="35">
                  <c:v>0.3337</c:v>
                </c:pt>
                <c:pt idx="36">
                  <c:v>0.34520000000000001</c:v>
                </c:pt>
                <c:pt idx="37">
                  <c:v>0.17069999999999999</c:v>
                </c:pt>
                <c:pt idx="38">
                  <c:v>0.32400000000000001</c:v>
                </c:pt>
                <c:pt idx="39">
                  <c:v>0.32679999999999998</c:v>
                </c:pt>
                <c:pt idx="40">
                  <c:v>0.4365</c:v>
                </c:pt>
                <c:pt idx="41">
                  <c:v>0.26780000000000004</c:v>
                </c:pt>
                <c:pt idx="42">
                  <c:v>0.41149999999999998</c:v>
                </c:pt>
                <c:pt idx="43">
                  <c:v>3.2300000000000002E-2</c:v>
                </c:pt>
                <c:pt idx="44">
                  <c:v>0.218</c:v>
                </c:pt>
                <c:pt idx="45">
                  <c:v>0.28149999999999997</c:v>
                </c:pt>
                <c:pt idx="46">
                  <c:v>0.23920000000000002</c:v>
                </c:pt>
                <c:pt idx="47">
                  <c:v>0.34049999999999997</c:v>
                </c:pt>
                <c:pt idx="48">
                  <c:v>0.11289999999999999</c:v>
                </c:pt>
                <c:pt idx="49">
                  <c:v>0.45090000000000002</c:v>
                </c:pt>
                <c:pt idx="50">
                  <c:v>0.13170000000000001</c:v>
                </c:pt>
                <c:pt idx="51">
                  <c:v>8.7499999999999994E-2</c:v>
                </c:pt>
                <c:pt idx="52">
                  <c:v>0.37530000000000002</c:v>
                </c:pt>
                <c:pt idx="53">
                  <c:v>0.34139999999999998</c:v>
                </c:pt>
                <c:pt idx="54">
                  <c:v>0.27889999999999998</c:v>
                </c:pt>
                <c:pt idx="55">
                  <c:v>0.1356</c:v>
                </c:pt>
                <c:pt idx="56">
                  <c:v>0.40590000000000004</c:v>
                </c:pt>
                <c:pt idx="57">
                  <c:v>9.849999999999999E-2</c:v>
                </c:pt>
                <c:pt idx="58">
                  <c:v>0.30499999999999999</c:v>
                </c:pt>
                <c:pt idx="59">
                  <c:v>0.20660000000000001</c:v>
                </c:pt>
                <c:pt idx="60">
                  <c:v>0.1389</c:v>
                </c:pt>
                <c:pt idx="61">
                  <c:v>0.1845</c:v>
                </c:pt>
                <c:pt idx="62">
                  <c:v>0.2959</c:v>
                </c:pt>
                <c:pt idx="63">
                  <c:v>0.44369999999999998</c:v>
                </c:pt>
                <c:pt idx="64">
                  <c:v>0.21109999999999998</c:v>
                </c:pt>
                <c:pt idx="65">
                  <c:v>0.11259999999999999</c:v>
                </c:pt>
                <c:pt idx="66">
                  <c:v>0.11960000000000001</c:v>
                </c:pt>
                <c:pt idx="67">
                  <c:v>0.21640000000000001</c:v>
                </c:pt>
                <c:pt idx="68">
                  <c:v>0.47020000000000001</c:v>
                </c:pt>
                <c:pt idx="69">
                  <c:v>0.6724</c:v>
                </c:pt>
                <c:pt idx="70">
                  <c:v>0.39450000000000002</c:v>
                </c:pt>
                <c:pt idx="71">
                  <c:v>0.32289999999999996</c:v>
                </c:pt>
                <c:pt idx="72">
                  <c:v>0.193</c:v>
                </c:pt>
                <c:pt idx="73">
                  <c:v>0.19289999999999999</c:v>
                </c:pt>
                <c:pt idx="74">
                  <c:v>2.9999999999999997E-4</c:v>
                </c:pt>
                <c:pt idx="75">
                  <c:v>0.1016</c:v>
                </c:pt>
                <c:pt idx="76">
                  <c:v>0.24410000000000001</c:v>
                </c:pt>
                <c:pt idx="77">
                  <c:v>0.16420000000000001</c:v>
                </c:pt>
                <c:pt idx="78">
                  <c:v>0.41110000000000002</c:v>
                </c:pt>
                <c:pt idx="79">
                  <c:v>0.26170000000000004</c:v>
                </c:pt>
                <c:pt idx="80">
                  <c:v>0.192</c:v>
                </c:pt>
                <c:pt idx="81">
                  <c:v>0.15310000000000001</c:v>
                </c:pt>
                <c:pt idx="82">
                  <c:v>0.24850000000000003</c:v>
                </c:pt>
                <c:pt idx="83">
                  <c:v>0.3906</c:v>
                </c:pt>
                <c:pt idx="84">
                  <c:v>0.2397</c:v>
                </c:pt>
                <c:pt idx="85">
                  <c:v>0.32270000000000004</c:v>
                </c:pt>
                <c:pt idx="86">
                  <c:v>0.20920000000000002</c:v>
                </c:pt>
                <c:pt idx="87">
                  <c:v>0.16510000000000002</c:v>
                </c:pt>
                <c:pt idx="88">
                  <c:v>0.42229999999999995</c:v>
                </c:pt>
                <c:pt idx="89">
                  <c:v>0.12390000000000001</c:v>
                </c:pt>
                <c:pt idx="90">
                  <c:v>0.29100000000000004</c:v>
                </c:pt>
                <c:pt idx="91">
                  <c:v>0.20949999999999999</c:v>
                </c:pt>
                <c:pt idx="92">
                  <c:v>0.24249999999999999</c:v>
                </c:pt>
                <c:pt idx="93">
                  <c:v>0.1231</c:v>
                </c:pt>
                <c:pt idx="94">
                  <c:v>0.16170000000000001</c:v>
                </c:pt>
              </c:numCache>
            </c:numRef>
          </c:yVal>
          <c:smooth val="1"/>
          <c:extLst>
            <c:ext xmlns:c16="http://schemas.microsoft.com/office/drawing/2014/chart" uri="{C3380CC4-5D6E-409C-BE32-E72D297353CC}">
              <c16:uniqueId val="{00000001-A209-4789-B930-902EFE65C20A}"/>
            </c:ext>
          </c:extLst>
        </c:ser>
        <c:dLbls>
          <c:showLegendKey val="0"/>
          <c:showVal val="0"/>
          <c:showCatName val="0"/>
          <c:showSerName val="0"/>
          <c:showPercent val="0"/>
          <c:showBubbleSize val="0"/>
        </c:dLbls>
        <c:axId val="548272963"/>
        <c:axId val="1644618734"/>
      </c:scatterChart>
      <c:valAx>
        <c:axId val="548272963"/>
        <c:scaling>
          <c:orientation val="minMax"/>
        </c:scaling>
        <c:delete val="0"/>
        <c:axPos val="b"/>
        <c:majorGridlines>
          <c:spPr>
            <a:ln>
              <a:solidFill>
                <a:srgbClr val="B7B7B7"/>
              </a:solidFill>
            </a:ln>
          </c:spPr>
        </c:majorGridlines>
        <c:title>
          <c:tx>
            <c:rich>
              <a:bodyPr/>
              <a:lstStyle/>
              <a:p>
                <a:pPr lvl="0">
                  <a:defRPr b="0" i="0">
                    <a:solidFill>
                      <a:srgbClr val="000000"/>
                    </a:solidFill>
                    <a:latin typeface="+mn-lt"/>
                  </a:defRPr>
                </a:pPr>
                <a:r>
                  <a:rPr lang="en-GB" b="0" i="0">
                    <a:solidFill>
                      <a:srgbClr val="000000"/>
                    </a:solidFill>
                    <a:latin typeface="+mn-lt"/>
                  </a:rPr>
                  <a:t>Operating Profit Margin</a:t>
                </a:r>
              </a:p>
            </c:rich>
          </c:tx>
          <c:overlay val="0"/>
        </c:title>
        <c:numFmt formatCode="0%" sourceLinked="0"/>
        <c:majorTickMark val="none"/>
        <c:minorTickMark val="none"/>
        <c:tickLblPos val="nextTo"/>
        <c:spPr>
          <a:ln>
            <a:noFill/>
          </a:ln>
        </c:spPr>
        <c:txPr>
          <a:bodyPr/>
          <a:lstStyle/>
          <a:p>
            <a:pPr lvl="0">
              <a:defRPr b="0" i="0">
                <a:solidFill>
                  <a:srgbClr val="000000"/>
                </a:solidFill>
                <a:latin typeface="+mn-lt"/>
              </a:defRPr>
            </a:pPr>
            <a:endParaRPr lang="en-US"/>
          </a:p>
        </c:txPr>
        <c:crossAx val="1644618734"/>
        <c:crosses val="autoZero"/>
        <c:crossBetween val="midCat"/>
      </c:valAx>
      <c:valAx>
        <c:axId val="1644618734"/>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lang="en-GB" b="0" i="0">
                    <a:solidFill>
                      <a:srgbClr val="000000"/>
                    </a:solidFill>
                    <a:latin typeface="+mn-lt"/>
                  </a:rPr>
                  <a:t>Market Capitalisation (USD bn)</a:t>
                </a:r>
              </a:p>
            </c:rich>
          </c:tx>
          <c:overlay val="0"/>
        </c:title>
        <c:numFmt formatCode="0" sourceLinked="0"/>
        <c:majorTickMark val="none"/>
        <c:minorTickMark val="none"/>
        <c:tickLblPos val="nextTo"/>
        <c:spPr>
          <a:ln>
            <a:noFill/>
          </a:ln>
        </c:spPr>
        <c:txPr>
          <a:bodyPr/>
          <a:lstStyle/>
          <a:p>
            <a:pPr lvl="0">
              <a:defRPr b="0" i="0">
                <a:solidFill>
                  <a:srgbClr val="000000"/>
                </a:solidFill>
                <a:latin typeface="+mn-lt"/>
              </a:defRPr>
            </a:pPr>
            <a:endParaRPr lang="en-US"/>
          </a:p>
        </c:txPr>
        <c:crossAx val="548272963"/>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Market Cap vs Operating Profit Margin</a:t>
            </a:r>
          </a:p>
        </c:rich>
      </c:tx>
      <c:overlay val="0"/>
    </c:title>
    <c:autoTitleDeleted val="0"/>
    <c:plotArea>
      <c:layout/>
      <c:scatterChart>
        <c:scatterStyle val="lineMarker"/>
        <c:varyColors val="0"/>
        <c:ser>
          <c:idx val="0"/>
          <c:order val="0"/>
          <c:tx>
            <c:v>Operating Margin (TTM)</c:v>
          </c:tx>
          <c:spPr>
            <a:ln>
              <a:noFill/>
            </a:ln>
          </c:spPr>
          <c:marker>
            <c:symbol val="circle"/>
            <c:size val="7"/>
            <c:spPr>
              <a:solidFill>
                <a:srgbClr val="4285F4"/>
              </a:solidFill>
              <a:ln cmpd="sng">
                <a:solidFill>
                  <a:srgbClr val="4285F4"/>
                </a:solidFill>
              </a:ln>
            </c:spPr>
          </c:marker>
          <c:trendline>
            <c:name>Linear (Operating Margin (TTM))</c:name>
            <c:spPr>
              <a:ln w="19050">
                <a:solidFill>
                  <a:srgbClr val="000000">
                    <a:alpha val="0"/>
                  </a:srgbClr>
                </a:solidFill>
              </a:ln>
            </c:spPr>
            <c:trendlineType val="linear"/>
            <c:dispRSqr val="0"/>
            <c:dispEq val="0"/>
          </c:trendline>
          <c:yVal>
            <c:numRef>
              <c:f>'Relationship Analysis'!$C$9:$C$103</c:f>
              <c:numCache>
                <c:formatCode>0.00%</c:formatCode>
                <c:ptCount val="95"/>
                <c:pt idx="0">
                  <c:v>0.74849999999999994</c:v>
                </c:pt>
                <c:pt idx="1">
                  <c:v>0.31890000000000002</c:v>
                </c:pt>
                <c:pt idx="2">
                  <c:v>0.46310000000000001</c:v>
                </c:pt>
                <c:pt idx="3">
                  <c:v>0.4854</c:v>
                </c:pt>
                <c:pt idx="4">
                  <c:v>0.13570000000000002</c:v>
                </c:pt>
                <c:pt idx="5">
                  <c:v>0.53600000000000003</c:v>
                </c:pt>
                <c:pt idx="6">
                  <c:v>-0.22589999999999999</c:v>
                </c:pt>
                <c:pt idx="7">
                  <c:v>0.44549999999999995</c:v>
                </c:pt>
                <c:pt idx="8">
                  <c:v>0.42469999999999997</c:v>
                </c:pt>
                <c:pt idx="9">
                  <c:v>0.42229999999999995</c:v>
                </c:pt>
                <c:pt idx="10">
                  <c:v>5.9000000000000004E-2</c:v>
                </c:pt>
                <c:pt idx="11">
                  <c:v>0.25530000000000003</c:v>
                </c:pt>
                <c:pt idx="12">
                  <c:v>0.16010000000000002</c:v>
                </c:pt>
                <c:pt idx="13">
                  <c:v>0.25819999999999999</c:v>
                </c:pt>
                <c:pt idx="14">
                  <c:v>0.43070000000000003</c:v>
                </c:pt>
                <c:pt idx="15">
                  <c:v>0.39939999999999998</c:v>
                </c:pt>
                <c:pt idx="16">
                  <c:v>0.7087</c:v>
                </c:pt>
                <c:pt idx="17">
                  <c:v>4.1299999999999996E-2</c:v>
                </c:pt>
                <c:pt idx="18">
                  <c:v>0.1195</c:v>
                </c:pt>
                <c:pt idx="19">
                  <c:v>0.61480000000000001</c:v>
                </c:pt>
                <c:pt idx="20">
                  <c:v>0.11230000000000001</c:v>
                </c:pt>
                <c:pt idx="21">
                  <c:v>0.34909999999999997</c:v>
                </c:pt>
                <c:pt idx="22">
                  <c:v>0.3458</c:v>
                </c:pt>
                <c:pt idx="23">
                  <c:v>0.43189999999999995</c:v>
                </c:pt>
                <c:pt idx="24">
                  <c:v>0.36869999999999997</c:v>
                </c:pt>
                <c:pt idx="25">
                  <c:v>0.57040000000000002</c:v>
                </c:pt>
                <c:pt idx="26">
                  <c:v>2.9399999999999999E-2</c:v>
                </c:pt>
                <c:pt idx="27">
                  <c:v>9.5100000000000004E-2</c:v>
                </c:pt>
                <c:pt idx="28">
                  <c:v>0.44450000000000001</c:v>
                </c:pt>
                <c:pt idx="29">
                  <c:v>0.19589999999999999</c:v>
                </c:pt>
                <c:pt idx="30">
                  <c:v>0.34460000000000002</c:v>
                </c:pt>
                <c:pt idx="31">
                  <c:v>0.2903</c:v>
                </c:pt>
                <c:pt idx="32">
                  <c:v>0.47</c:v>
                </c:pt>
                <c:pt idx="33">
                  <c:v>3.9300000000000002E-2</c:v>
                </c:pt>
                <c:pt idx="34">
                  <c:v>0.10460000000000001</c:v>
                </c:pt>
                <c:pt idx="35">
                  <c:v>0.3337</c:v>
                </c:pt>
                <c:pt idx="36">
                  <c:v>0.34520000000000001</c:v>
                </c:pt>
                <c:pt idx="37">
                  <c:v>0.17069999999999999</c:v>
                </c:pt>
                <c:pt idx="38">
                  <c:v>0.32400000000000001</c:v>
                </c:pt>
                <c:pt idx="39">
                  <c:v>0.32679999999999998</c:v>
                </c:pt>
                <c:pt idx="40">
                  <c:v>0.4365</c:v>
                </c:pt>
                <c:pt idx="41">
                  <c:v>0.26780000000000004</c:v>
                </c:pt>
                <c:pt idx="42">
                  <c:v>0.41149999999999998</c:v>
                </c:pt>
                <c:pt idx="43">
                  <c:v>3.2300000000000002E-2</c:v>
                </c:pt>
                <c:pt idx="44">
                  <c:v>0.218</c:v>
                </c:pt>
                <c:pt idx="45">
                  <c:v>0.28149999999999997</c:v>
                </c:pt>
                <c:pt idx="46">
                  <c:v>0.23920000000000002</c:v>
                </c:pt>
                <c:pt idx="47">
                  <c:v>0.34049999999999997</c:v>
                </c:pt>
                <c:pt idx="48">
                  <c:v>0.11289999999999999</c:v>
                </c:pt>
                <c:pt idx="49">
                  <c:v>0.45090000000000002</c:v>
                </c:pt>
                <c:pt idx="50">
                  <c:v>0.13170000000000001</c:v>
                </c:pt>
                <c:pt idx="51">
                  <c:v>8.7499999999999994E-2</c:v>
                </c:pt>
                <c:pt idx="52">
                  <c:v>0.37530000000000002</c:v>
                </c:pt>
                <c:pt idx="53">
                  <c:v>0.34139999999999998</c:v>
                </c:pt>
                <c:pt idx="54">
                  <c:v>0.27889999999999998</c:v>
                </c:pt>
                <c:pt idx="55">
                  <c:v>0.1356</c:v>
                </c:pt>
                <c:pt idx="56">
                  <c:v>0.40590000000000004</c:v>
                </c:pt>
                <c:pt idx="57">
                  <c:v>9.849999999999999E-2</c:v>
                </c:pt>
                <c:pt idx="58">
                  <c:v>0.30499999999999999</c:v>
                </c:pt>
                <c:pt idx="59">
                  <c:v>0.20660000000000001</c:v>
                </c:pt>
                <c:pt idx="60">
                  <c:v>0.1389</c:v>
                </c:pt>
                <c:pt idx="61">
                  <c:v>0.1845</c:v>
                </c:pt>
                <c:pt idx="62">
                  <c:v>0.2959</c:v>
                </c:pt>
                <c:pt idx="63">
                  <c:v>0.44369999999999998</c:v>
                </c:pt>
                <c:pt idx="64">
                  <c:v>0.21109999999999998</c:v>
                </c:pt>
                <c:pt idx="65">
                  <c:v>0.11259999999999999</c:v>
                </c:pt>
                <c:pt idx="66">
                  <c:v>0.11960000000000001</c:v>
                </c:pt>
                <c:pt idx="67">
                  <c:v>0.21640000000000001</c:v>
                </c:pt>
                <c:pt idx="68">
                  <c:v>0.47020000000000001</c:v>
                </c:pt>
                <c:pt idx="69">
                  <c:v>0.6724</c:v>
                </c:pt>
                <c:pt idx="70">
                  <c:v>0.39450000000000002</c:v>
                </c:pt>
                <c:pt idx="71">
                  <c:v>0.32289999999999996</c:v>
                </c:pt>
                <c:pt idx="72">
                  <c:v>0.193</c:v>
                </c:pt>
                <c:pt idx="73">
                  <c:v>0.19289999999999999</c:v>
                </c:pt>
                <c:pt idx="74">
                  <c:v>2.9999999999999997E-4</c:v>
                </c:pt>
                <c:pt idx="75">
                  <c:v>0.1016</c:v>
                </c:pt>
                <c:pt idx="76">
                  <c:v>0.24410000000000001</c:v>
                </c:pt>
                <c:pt idx="77">
                  <c:v>0.16420000000000001</c:v>
                </c:pt>
                <c:pt idx="78">
                  <c:v>0.41110000000000002</c:v>
                </c:pt>
                <c:pt idx="79">
                  <c:v>0.26170000000000004</c:v>
                </c:pt>
                <c:pt idx="80">
                  <c:v>0.192</c:v>
                </c:pt>
                <c:pt idx="81">
                  <c:v>0.15310000000000001</c:v>
                </c:pt>
                <c:pt idx="82">
                  <c:v>0.24850000000000003</c:v>
                </c:pt>
                <c:pt idx="83">
                  <c:v>0.3906</c:v>
                </c:pt>
                <c:pt idx="84">
                  <c:v>0.2397</c:v>
                </c:pt>
                <c:pt idx="85">
                  <c:v>0.32270000000000004</c:v>
                </c:pt>
                <c:pt idx="86">
                  <c:v>0.20920000000000002</c:v>
                </c:pt>
                <c:pt idx="87">
                  <c:v>0.16510000000000002</c:v>
                </c:pt>
                <c:pt idx="88">
                  <c:v>0.42229999999999995</c:v>
                </c:pt>
                <c:pt idx="89">
                  <c:v>0.12390000000000001</c:v>
                </c:pt>
                <c:pt idx="90">
                  <c:v>0.29100000000000004</c:v>
                </c:pt>
                <c:pt idx="91">
                  <c:v>0.20949999999999999</c:v>
                </c:pt>
                <c:pt idx="92">
                  <c:v>0.24249999999999999</c:v>
                </c:pt>
                <c:pt idx="93">
                  <c:v>0.1231</c:v>
                </c:pt>
                <c:pt idx="94">
                  <c:v>0.16170000000000001</c:v>
                </c:pt>
              </c:numCache>
            </c:numRef>
          </c:yVal>
          <c:smooth val="1"/>
          <c:extLst>
            <c:ext xmlns:c16="http://schemas.microsoft.com/office/drawing/2014/chart" uri="{C3380CC4-5D6E-409C-BE32-E72D297353CC}">
              <c16:uniqueId val="{00000001-0752-4DFB-BC03-6072D79B44CB}"/>
            </c:ext>
          </c:extLst>
        </c:ser>
        <c:dLbls>
          <c:showLegendKey val="0"/>
          <c:showVal val="0"/>
          <c:showCatName val="0"/>
          <c:showSerName val="0"/>
          <c:showPercent val="0"/>
          <c:showBubbleSize val="0"/>
        </c:dLbls>
        <c:axId val="1234565639"/>
        <c:axId val="1761892924"/>
      </c:scatterChart>
      <c:valAx>
        <c:axId val="1234565639"/>
        <c:scaling>
          <c:orientation val="minMax"/>
        </c:scaling>
        <c:delete val="0"/>
        <c:axPos val="b"/>
        <c:majorGridlines>
          <c:spPr>
            <a:ln>
              <a:solidFill>
                <a:srgbClr val="B7B7B7"/>
              </a:solidFill>
            </a:ln>
          </c:spPr>
        </c:majorGridlines>
        <c:title>
          <c:tx>
            <c:rich>
              <a:bodyPr/>
              <a:lstStyle/>
              <a:p>
                <a:pPr lvl="0">
                  <a:defRPr b="0" i="0">
                    <a:solidFill>
                      <a:srgbClr val="000000"/>
                    </a:solidFill>
                    <a:latin typeface="+mn-lt"/>
                  </a:defRPr>
                </a:pPr>
                <a:r>
                  <a:rPr lang="en-GB" b="0" i="0">
                    <a:solidFill>
                      <a:srgbClr val="000000"/>
                    </a:solidFill>
                    <a:latin typeface="+mn-lt"/>
                  </a:rPr>
                  <a:t>Operating Profit Margin</a:t>
                </a:r>
              </a:p>
            </c:rich>
          </c:tx>
          <c:overlay val="0"/>
        </c:title>
        <c:numFmt formatCode="0%" sourceLinked="0"/>
        <c:majorTickMark val="none"/>
        <c:minorTickMark val="none"/>
        <c:tickLblPos val="nextTo"/>
        <c:spPr>
          <a:ln>
            <a:noFill/>
          </a:ln>
        </c:spPr>
        <c:txPr>
          <a:bodyPr/>
          <a:lstStyle/>
          <a:p>
            <a:pPr lvl="0">
              <a:defRPr b="0" i="0">
                <a:solidFill>
                  <a:srgbClr val="000000"/>
                </a:solidFill>
                <a:latin typeface="+mn-lt"/>
              </a:defRPr>
            </a:pPr>
            <a:endParaRPr lang="en-US"/>
          </a:p>
        </c:txPr>
        <c:crossAx val="1761892924"/>
        <c:crosses val="autoZero"/>
        <c:crossBetween val="midCat"/>
      </c:valAx>
      <c:valAx>
        <c:axId val="1761892924"/>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lang="en-GB" b="0" i="0">
                    <a:solidFill>
                      <a:srgbClr val="000000"/>
                    </a:solidFill>
                    <a:latin typeface="+mn-lt"/>
                  </a:rPr>
                  <a:t>Market Capitalisation (USD bn)</a:t>
                </a:r>
              </a:p>
            </c:rich>
          </c:tx>
          <c:overlay val="0"/>
        </c:title>
        <c:numFmt formatCode="0" sourceLinked="0"/>
        <c:majorTickMark val="none"/>
        <c:minorTickMark val="none"/>
        <c:tickLblPos val="nextTo"/>
        <c:spPr>
          <a:ln>
            <a:noFill/>
          </a:ln>
        </c:spPr>
        <c:txPr>
          <a:bodyPr/>
          <a:lstStyle/>
          <a:p>
            <a:pPr lvl="0">
              <a:defRPr b="0" i="0">
                <a:solidFill>
                  <a:srgbClr val="000000"/>
                </a:solidFill>
                <a:latin typeface="+mn-lt"/>
              </a:defRPr>
            </a:pPr>
            <a:endParaRPr lang="en-US"/>
          </a:p>
        </c:txPr>
        <c:crossAx val="1234565639"/>
        <c:crosses val="autoZero"/>
        <c:crossBetween val="midCat"/>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190501</xdr:colOff>
      <xdr:row>6</xdr:row>
      <xdr:rowOff>0</xdr:rowOff>
    </xdr:from>
    <xdr:ext cx="4602480" cy="36576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289561</xdr:colOff>
      <xdr:row>23</xdr:row>
      <xdr:rowOff>62865</xdr:rowOff>
    </xdr:from>
    <xdr:ext cx="6652260" cy="314325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23</xdr:row>
      <xdr:rowOff>99060</xdr:rowOff>
    </xdr:from>
    <xdr:ext cx="6360795" cy="3200400"/>
    <xdr:graphicFrame macro="">
      <xdr:nvGraphicFramePr>
        <xdr:cNvPr id="4" name="Chart 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251460</xdr:colOff>
      <xdr:row>14</xdr:row>
      <xdr:rowOff>0</xdr:rowOff>
    </xdr:from>
    <xdr:ext cx="4861560" cy="6705600"/>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S102" headerRowDxfId="3">
  <autoFilter ref="A2:S102" xr:uid="{00000000-000C-0000-FFFF-FFFF00000000}">
    <filterColumn colId="4">
      <filters>
        <filter val="USA"/>
      </filters>
    </filterColumn>
  </autoFilter>
  <tableColumns count="19">
    <tableColumn id="1" xr3:uid="{00000000-0010-0000-0000-000001000000}" name="Rank"/>
    <tableColumn id="2" xr3:uid="{00000000-0010-0000-0000-000002000000}" name="Company ID"/>
    <tableColumn id="3" xr3:uid="{00000000-0010-0000-0000-000003000000}" name="Company Name"/>
    <tableColumn id="4" xr3:uid="{00000000-0010-0000-0000-000004000000}" name="Ticker"/>
    <tableColumn id="5" xr3:uid="{00000000-0010-0000-0000-000005000000}" name="Country"/>
    <tableColumn id="6" xr3:uid="{00000000-0010-0000-0000-000006000000}" name="Region"/>
    <tableColumn id="7" xr3:uid="{00000000-0010-0000-0000-000007000000}" name="Sector"/>
    <tableColumn id="8" xr3:uid="{00000000-0010-0000-0000-000008000000}" name="Industry"/>
    <tableColumn id="9" xr3:uid="{00000000-0010-0000-0000-000009000000}" name="Stock Exchange"/>
    <tableColumn id="10" xr3:uid="{00000000-0010-0000-0000-00000A000000}" name="Year Founded"/>
    <tableColumn id="11" xr3:uid="{00000000-0010-0000-0000-00000B000000}" name="Employees"/>
    <tableColumn id="12" xr3:uid="{00000000-0010-0000-0000-00000C000000}" name="Market Capitalisation (USD bn)"/>
    <tableColumn id="13" xr3:uid="{00000000-0010-0000-0000-00000D000000}" name="Market Capitalisation (USD tn)"/>
    <tableColumn id="14" xr3:uid="{00000000-0010-0000-0000-00000E000000}" name="Revenue (USD bn; TTM or latest FY)"/>
    <tableColumn id="16" xr3:uid="{00000000-0010-0000-0000-000010000000}" name="Operating Profit Margin (TTM, %)"/>
    <tableColumn id="17" xr3:uid="{00000000-0010-0000-0000-000011000000}" name="As-of Date"/>
    <tableColumn id="18" xr3:uid="{00000000-0010-0000-0000-000012000000}" name="Market Source URL"/>
    <tableColumn id="19" xr3:uid="{00000000-0010-0000-0000-000013000000}" name="Annual Data Source"/>
    <tableColumn id="20" xr3:uid="{00000000-0010-0000-0000-000014000000}" name="Data Status"/>
  </tableColumns>
  <tableStyleInfo name="TableStyleMedium23"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358829-777D-4EC2-AEF2-E973AC8A6DD2}" name="Table2" displayName="Table2" ref="T2:T102" totalsRowShown="0" headerRowDxfId="2" dataDxfId="1">
  <autoFilter ref="T2:T102" xr:uid="{3C358829-777D-4EC2-AEF2-E973AC8A6DD2}"/>
  <tableColumns count="1">
    <tableColumn id="1" xr3:uid="{CC0C48D6-1A5F-43FA-9FEB-AD3246FB154A}" name="Operating Margin Source URL" dataDxfId="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C10" sqref="C10"/>
    </sheetView>
  </sheetViews>
  <sheetFormatPr defaultColWidth="12.59765625" defaultRowHeight="15" customHeight="1"/>
  <cols>
    <col min="1" max="1" width="37.796875" customWidth="1"/>
    <col min="2" max="2" width="34" customWidth="1"/>
    <col min="3" max="4" width="18" customWidth="1"/>
    <col min="5" max="5" width="22" customWidth="1"/>
    <col min="6" max="6" width="53.59765625" customWidth="1"/>
    <col min="7" max="24" width="14.3984375" customWidth="1"/>
  </cols>
  <sheetData>
    <row r="1" spans="1:6" ht="27.75" customHeight="1">
      <c r="A1" s="30" t="s">
        <v>692</v>
      </c>
      <c r="B1" s="31"/>
      <c r="C1" s="31"/>
      <c r="D1" s="31"/>
      <c r="E1" s="31"/>
      <c r="F1" s="31"/>
    </row>
    <row r="2" spans="1:6" ht="27.75" customHeight="1"/>
    <row r="3" spans="1:6" ht="27.75" customHeight="1">
      <c r="A3" s="38" t="s">
        <v>691</v>
      </c>
      <c r="B3" s="1"/>
      <c r="C3" s="1"/>
      <c r="D3" s="1"/>
      <c r="E3" s="1"/>
      <c r="F3" s="1"/>
    </row>
    <row r="4" spans="1:6" ht="34.950000000000003" customHeight="1">
      <c r="A4" s="39" t="s">
        <v>2</v>
      </c>
      <c r="B4" s="39"/>
      <c r="C4" s="39"/>
      <c r="D4" s="39"/>
      <c r="E4" s="39"/>
      <c r="F4" s="39"/>
    </row>
    <row r="5" spans="1:6" ht="27.75" customHeight="1">
      <c r="A5" s="1" t="s">
        <v>3</v>
      </c>
      <c r="B5" s="1" t="s">
        <v>4</v>
      </c>
      <c r="C5" s="1"/>
      <c r="D5" s="1"/>
      <c r="E5" s="1" t="s">
        <v>5</v>
      </c>
      <c r="F5" s="1" t="s">
        <v>6</v>
      </c>
    </row>
    <row r="6" spans="1:6" ht="27.75" customHeight="1">
      <c r="A6" s="1" t="s">
        <v>7</v>
      </c>
      <c r="B6" s="1" t="s">
        <v>9</v>
      </c>
      <c r="C6" s="1"/>
      <c r="D6" s="1"/>
      <c r="E6" s="1" t="s">
        <v>10</v>
      </c>
      <c r="F6" s="1" t="s">
        <v>12</v>
      </c>
    </row>
    <row r="7" spans="1:6" ht="27.75" customHeight="1">
      <c r="A7" s="1" t="s">
        <v>14</v>
      </c>
      <c r="B7" s="1" t="s">
        <v>16</v>
      </c>
      <c r="C7" s="1"/>
      <c r="D7" s="1"/>
      <c r="E7" s="1" t="s">
        <v>17</v>
      </c>
      <c r="F7" s="1" t="s">
        <v>18</v>
      </c>
    </row>
    <row r="8" spans="1:6" ht="27.75" customHeight="1">
      <c r="A8" s="1" t="s">
        <v>19</v>
      </c>
      <c r="B8" s="1" t="s">
        <v>20</v>
      </c>
      <c r="C8" s="1"/>
      <c r="D8" s="1"/>
      <c r="E8" s="1" t="s">
        <v>21</v>
      </c>
      <c r="F8" s="1" t="s">
        <v>23</v>
      </c>
    </row>
    <row r="9" spans="1:6" ht="27.75" customHeight="1">
      <c r="A9" s="1" t="s">
        <v>24</v>
      </c>
      <c r="B9" s="1" t="s">
        <v>693</v>
      </c>
      <c r="C9" s="1"/>
      <c r="D9" s="1"/>
      <c r="E9" s="1" t="s">
        <v>25</v>
      </c>
      <c r="F9" s="1" t="s">
        <v>26</v>
      </c>
    </row>
    <row r="10" spans="1:6" ht="27.75" customHeight="1">
      <c r="A10" s="1"/>
      <c r="B10" s="1"/>
      <c r="C10" s="1"/>
      <c r="D10" s="1"/>
      <c r="E10" s="1"/>
      <c r="F10" s="1"/>
    </row>
    <row r="11" spans="1:6" ht="27.75" customHeight="1"/>
    <row r="12" spans="1:6" ht="27.75" customHeight="1">
      <c r="A12" s="2" t="s">
        <v>27</v>
      </c>
      <c r="B12" s="2" t="s">
        <v>28</v>
      </c>
      <c r="C12" s="2" t="s">
        <v>27</v>
      </c>
      <c r="D12" s="2" t="s">
        <v>28</v>
      </c>
      <c r="E12" s="2" t="s">
        <v>27</v>
      </c>
      <c r="F12" s="2" t="s">
        <v>28</v>
      </c>
    </row>
    <row r="13" spans="1:6" ht="27.75" customHeight="1">
      <c r="A13" s="1" t="s">
        <v>29</v>
      </c>
      <c r="B13" s="1" t="s">
        <v>30</v>
      </c>
      <c r="C13" s="1" t="s">
        <v>31</v>
      </c>
      <c r="D13" s="1" t="s">
        <v>32</v>
      </c>
      <c r="E13" s="1" t="s">
        <v>19</v>
      </c>
      <c r="F13" s="1" t="s">
        <v>33</v>
      </c>
    </row>
    <row r="14" spans="1:6" ht="27.75" customHeight="1">
      <c r="A14" s="1" t="s">
        <v>1</v>
      </c>
      <c r="B14" s="1" t="s">
        <v>34</v>
      </c>
      <c r="C14" s="1" t="s">
        <v>15</v>
      </c>
      <c r="D14" s="1" t="s">
        <v>35</v>
      </c>
      <c r="E14" s="1" t="s">
        <v>36</v>
      </c>
      <c r="F14" s="1" t="s">
        <v>37</v>
      </c>
    </row>
    <row r="15" spans="1:6" ht="27.75" customHeight="1">
      <c r="A15" s="1" t="s">
        <v>39</v>
      </c>
      <c r="B15" s="1" t="s">
        <v>40</v>
      </c>
      <c r="C15" s="1" t="s">
        <v>41</v>
      </c>
      <c r="D15" s="1" t="s">
        <v>42</v>
      </c>
      <c r="E15" s="1" t="s">
        <v>43</v>
      </c>
      <c r="F15" s="1" t="s">
        <v>44</v>
      </c>
    </row>
    <row r="16" spans="1:6" ht="27.75" customHeight="1">
      <c r="A16" s="1" t="s">
        <v>46</v>
      </c>
      <c r="B16" s="1" t="s">
        <v>47</v>
      </c>
      <c r="C16" s="1"/>
      <c r="D16" s="1"/>
      <c r="E16" s="1"/>
      <c r="F16" s="1"/>
    </row>
    <row r="17" spans="1:6" ht="27.75" customHeight="1">
      <c r="A17" s="1" t="s">
        <v>48</v>
      </c>
      <c r="B17" s="1" t="s">
        <v>49</v>
      </c>
      <c r="C17" s="1"/>
      <c r="D17" s="1"/>
      <c r="E17" s="1"/>
      <c r="F17" s="1"/>
    </row>
    <row r="18" spans="1:6" ht="55.2">
      <c r="A18" s="4" t="s">
        <v>50</v>
      </c>
      <c r="B18" s="1" t="s">
        <v>51</v>
      </c>
      <c r="C18" s="1"/>
      <c r="D18" s="1"/>
      <c r="E18" s="4" t="s">
        <v>52</v>
      </c>
      <c r="F18" s="1" t="s">
        <v>53</v>
      </c>
    </row>
    <row r="19" spans="1:6" ht="41.4">
      <c r="A19" s="4" t="s">
        <v>54</v>
      </c>
      <c r="B19" s="1" t="s">
        <v>55</v>
      </c>
      <c r="C19" s="1"/>
      <c r="D19" s="1"/>
      <c r="E19" s="4" t="s">
        <v>56</v>
      </c>
      <c r="F19" s="1" t="s">
        <v>57</v>
      </c>
    </row>
    <row r="20" spans="1:6" ht="69">
      <c r="A20" s="4" t="s">
        <v>58</v>
      </c>
      <c r="B20" s="1" t="s">
        <v>59</v>
      </c>
      <c r="C20" s="1"/>
      <c r="D20" s="1"/>
      <c r="E20" s="4" t="s">
        <v>60</v>
      </c>
      <c r="F20" s="1" t="s">
        <v>61</v>
      </c>
    </row>
    <row r="21" spans="1:6" ht="15.75" customHeight="1">
      <c r="A21" s="4" t="s">
        <v>62</v>
      </c>
      <c r="B21" s="1" t="s">
        <v>63</v>
      </c>
      <c r="C21" s="1"/>
      <c r="D21" s="1"/>
      <c r="E21" s="4" t="s">
        <v>25</v>
      </c>
      <c r="F21" s="1" t="s">
        <v>26</v>
      </c>
    </row>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F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98"/>
  <sheetViews>
    <sheetView workbookViewId="0">
      <selection activeCell="B2" sqref="B2"/>
    </sheetView>
  </sheetViews>
  <sheetFormatPr defaultColWidth="12.59765625" defaultRowHeight="15" customHeight="1"/>
  <cols>
    <col min="1" max="1" width="9.296875" bestFit="1" customWidth="1"/>
    <col min="2" max="2" width="15.59765625" bestFit="1" customWidth="1"/>
    <col min="3" max="3" width="19" bestFit="1" customWidth="1"/>
    <col min="4" max="4" width="10.296875" bestFit="1" customWidth="1"/>
    <col min="5" max="5" width="11.8984375" bestFit="1" customWidth="1"/>
    <col min="6" max="6" width="11.09765625" bestFit="1" customWidth="1"/>
    <col min="7" max="7" width="14.09765625" customWidth="1"/>
    <col min="8" max="8" width="19.59765625" customWidth="1"/>
    <col min="9" max="9" width="21.19921875" customWidth="1"/>
    <col min="10" max="10" width="12.59765625" bestFit="1" customWidth="1"/>
    <col min="11" max="11" width="19.3984375" customWidth="1"/>
    <col min="12" max="13" width="23.296875" bestFit="1" customWidth="1"/>
    <col min="14" max="14" width="25.59765625" bestFit="1" customWidth="1"/>
    <col min="15" max="15" width="19" bestFit="1" customWidth="1"/>
    <col min="16" max="16" width="16.796875" customWidth="1"/>
    <col min="17" max="17" width="40.5" customWidth="1"/>
    <col min="18" max="18" width="62.09765625" customWidth="1"/>
    <col min="19" max="19" width="56.3984375" customWidth="1"/>
    <col min="20" max="20" width="54.5" customWidth="1"/>
    <col min="21" max="25" width="14.3984375" customWidth="1"/>
  </cols>
  <sheetData>
    <row r="1" spans="1:20" ht="34.950000000000003" customHeight="1">
      <c r="A1" s="32" t="s">
        <v>689</v>
      </c>
      <c r="B1" s="32"/>
      <c r="C1" s="32"/>
      <c r="D1" s="32"/>
      <c r="E1" s="32"/>
      <c r="F1" s="32"/>
      <c r="G1" s="32"/>
      <c r="H1" s="32"/>
      <c r="I1" s="32"/>
      <c r="J1" s="32"/>
      <c r="K1" s="32"/>
      <c r="L1" s="32"/>
      <c r="M1" s="32"/>
      <c r="N1" s="32"/>
      <c r="O1" s="32"/>
      <c r="P1" s="32"/>
      <c r="Q1" s="32"/>
      <c r="R1" s="32"/>
      <c r="S1" s="32"/>
      <c r="T1" s="27"/>
    </row>
    <row r="2" spans="1:20" ht="30" customHeight="1">
      <c r="A2" s="28" t="s">
        <v>68</v>
      </c>
      <c r="B2" s="28" t="s">
        <v>70</v>
      </c>
      <c r="C2" s="28" t="s">
        <v>71</v>
      </c>
      <c r="D2" s="28" t="s">
        <v>72</v>
      </c>
      <c r="E2" s="28" t="s">
        <v>73</v>
      </c>
      <c r="F2" s="28" t="s">
        <v>15</v>
      </c>
      <c r="G2" s="28" t="s">
        <v>1</v>
      </c>
      <c r="H2" s="28" t="s">
        <v>75</v>
      </c>
      <c r="I2" s="28" t="s">
        <v>41</v>
      </c>
      <c r="J2" s="28" t="s">
        <v>39</v>
      </c>
      <c r="K2" s="28" t="s">
        <v>19</v>
      </c>
      <c r="L2" s="28" t="s">
        <v>29</v>
      </c>
      <c r="M2" s="28" t="s">
        <v>76</v>
      </c>
      <c r="N2" s="28" t="s">
        <v>77</v>
      </c>
      <c r="O2" s="28" t="s">
        <v>79</v>
      </c>
      <c r="P2" s="28" t="s">
        <v>80</v>
      </c>
      <c r="Q2" s="28" t="s">
        <v>43</v>
      </c>
      <c r="R2" s="28" t="s">
        <v>45</v>
      </c>
      <c r="S2" s="28" t="s">
        <v>38</v>
      </c>
      <c r="T2" s="28" t="s">
        <v>81</v>
      </c>
    </row>
    <row r="3" spans="1:20" ht="30" customHeight="1">
      <c r="A3" s="6">
        <v>1</v>
      </c>
      <c r="B3" s="7" t="s">
        <v>83</v>
      </c>
      <c r="C3" s="7" t="s">
        <v>84</v>
      </c>
      <c r="D3" s="7" t="s">
        <v>85</v>
      </c>
      <c r="E3" s="7" t="s">
        <v>86</v>
      </c>
      <c r="F3" s="7" t="s">
        <v>78</v>
      </c>
      <c r="G3" s="7" t="s">
        <v>87</v>
      </c>
      <c r="H3" s="7" t="s">
        <v>89</v>
      </c>
      <c r="I3" s="7" t="s">
        <v>90</v>
      </c>
      <c r="J3" s="6">
        <v>1993</v>
      </c>
      <c r="K3" s="7">
        <v>42000</v>
      </c>
      <c r="L3" s="8">
        <v>5306</v>
      </c>
      <c r="M3" s="9">
        <v>5.306</v>
      </c>
      <c r="N3" s="8">
        <v>253.49</v>
      </c>
      <c r="O3" s="10">
        <v>0.74849999999999994</v>
      </c>
      <c r="P3" s="11">
        <v>46265</v>
      </c>
      <c r="Q3" s="7" t="s">
        <v>92</v>
      </c>
      <c r="R3" s="7" t="s">
        <v>93</v>
      </c>
      <c r="S3" s="29" t="s">
        <v>94</v>
      </c>
      <c r="T3" s="1" t="s">
        <v>95</v>
      </c>
    </row>
    <row r="4" spans="1:20" ht="30" customHeight="1">
      <c r="A4" s="6">
        <v>2</v>
      </c>
      <c r="B4" s="7" t="s">
        <v>97</v>
      </c>
      <c r="C4" s="7" t="s">
        <v>98</v>
      </c>
      <c r="D4" s="7" t="s">
        <v>99</v>
      </c>
      <c r="E4" s="7" t="s">
        <v>86</v>
      </c>
      <c r="F4" s="7" t="s">
        <v>78</v>
      </c>
      <c r="G4" s="7" t="s">
        <v>87</v>
      </c>
      <c r="H4" s="7" t="s">
        <v>100</v>
      </c>
      <c r="I4" s="7" t="s">
        <v>90</v>
      </c>
      <c r="J4" s="6">
        <v>1976</v>
      </c>
      <c r="K4" s="7">
        <v>166000</v>
      </c>
      <c r="L4" s="8">
        <v>4609</v>
      </c>
      <c r="M4" s="9">
        <v>4.609</v>
      </c>
      <c r="N4" s="8">
        <v>451.44</v>
      </c>
      <c r="O4" s="10">
        <v>0.31890000000000002</v>
      </c>
      <c r="P4" s="11">
        <v>46265</v>
      </c>
      <c r="Q4" s="7" t="s">
        <v>102</v>
      </c>
      <c r="R4" s="7" t="s">
        <v>93</v>
      </c>
      <c r="S4" s="29" t="s">
        <v>94</v>
      </c>
      <c r="T4" s="1" t="s">
        <v>103</v>
      </c>
    </row>
    <row r="5" spans="1:20" ht="30" customHeight="1">
      <c r="A5" s="6">
        <v>3</v>
      </c>
      <c r="B5" s="7" t="s">
        <v>104</v>
      </c>
      <c r="C5" s="7" t="s">
        <v>105</v>
      </c>
      <c r="D5" s="7" t="s">
        <v>106</v>
      </c>
      <c r="E5" s="7" t="s">
        <v>86</v>
      </c>
      <c r="F5" s="7" t="s">
        <v>78</v>
      </c>
      <c r="G5" s="7" t="s">
        <v>87</v>
      </c>
      <c r="H5" s="7" t="s">
        <v>100</v>
      </c>
      <c r="I5" s="7" t="s">
        <v>90</v>
      </c>
      <c r="J5" s="6">
        <v>1998</v>
      </c>
      <c r="K5" s="7">
        <v>190820</v>
      </c>
      <c r="L5" s="8">
        <v>4096</v>
      </c>
      <c r="M5" s="9">
        <v>4.0960000000000001</v>
      </c>
      <c r="N5" s="8">
        <v>422.49</v>
      </c>
      <c r="O5" s="10">
        <v>0.46310000000000001</v>
      </c>
      <c r="P5" s="11">
        <v>46265</v>
      </c>
      <c r="Q5" s="7" t="s">
        <v>108</v>
      </c>
      <c r="R5" s="7" t="s">
        <v>93</v>
      </c>
      <c r="S5" s="29" t="s">
        <v>94</v>
      </c>
      <c r="T5" s="1" t="s">
        <v>110</v>
      </c>
    </row>
    <row r="6" spans="1:20" ht="30" customHeight="1">
      <c r="A6" s="6">
        <v>4</v>
      </c>
      <c r="B6" s="7" t="s">
        <v>111</v>
      </c>
      <c r="C6" s="7" t="s">
        <v>112</v>
      </c>
      <c r="D6" s="7" t="s">
        <v>113</v>
      </c>
      <c r="E6" s="7" t="s">
        <v>86</v>
      </c>
      <c r="F6" s="7" t="s">
        <v>78</v>
      </c>
      <c r="G6" s="7" t="s">
        <v>87</v>
      </c>
      <c r="H6" s="7" t="s">
        <v>100</v>
      </c>
      <c r="I6" s="7" t="s">
        <v>90</v>
      </c>
      <c r="J6" s="6">
        <v>1975</v>
      </c>
      <c r="K6" s="7">
        <v>223000</v>
      </c>
      <c r="L6" s="8">
        <v>3783</v>
      </c>
      <c r="M6" s="9">
        <v>3.7829999999999999</v>
      </c>
      <c r="N6" s="8">
        <v>318.27</v>
      </c>
      <c r="O6" s="10">
        <v>0.4854</v>
      </c>
      <c r="P6" s="11">
        <v>46265</v>
      </c>
      <c r="Q6" s="7" t="s">
        <v>116</v>
      </c>
      <c r="R6" s="7" t="s">
        <v>93</v>
      </c>
      <c r="S6" s="29" t="s">
        <v>94</v>
      </c>
      <c r="T6" s="1" t="s">
        <v>117</v>
      </c>
    </row>
    <row r="7" spans="1:20" ht="30" customHeight="1">
      <c r="A7" s="6">
        <v>5</v>
      </c>
      <c r="B7" s="7" t="s">
        <v>118</v>
      </c>
      <c r="C7" s="7" t="s">
        <v>119</v>
      </c>
      <c r="D7" s="7" t="s">
        <v>120</v>
      </c>
      <c r="E7" s="7" t="s">
        <v>86</v>
      </c>
      <c r="F7" s="7" t="s">
        <v>78</v>
      </c>
      <c r="G7" s="7" t="s">
        <v>87</v>
      </c>
      <c r="H7" s="7" t="s">
        <v>122</v>
      </c>
      <c r="I7" s="7" t="s">
        <v>90</v>
      </c>
      <c r="J7" s="6">
        <v>1994</v>
      </c>
      <c r="K7" s="7">
        <v>1576000</v>
      </c>
      <c r="L7" s="8">
        <v>2794</v>
      </c>
      <c r="M7" s="9">
        <v>2.794</v>
      </c>
      <c r="N7" s="8">
        <v>742.77</v>
      </c>
      <c r="O7" s="10">
        <v>0.13570000000000002</v>
      </c>
      <c r="P7" s="11">
        <v>46265</v>
      </c>
      <c r="Q7" s="7" t="s">
        <v>124</v>
      </c>
      <c r="R7" s="7" t="s">
        <v>93</v>
      </c>
      <c r="S7" s="29" t="s">
        <v>94</v>
      </c>
      <c r="T7" s="1" t="s">
        <v>125</v>
      </c>
    </row>
    <row r="8" spans="1:20" ht="30" hidden="1" customHeight="1">
      <c r="A8" s="6">
        <v>6</v>
      </c>
      <c r="B8" s="7" t="s">
        <v>127</v>
      </c>
      <c r="C8" s="7" t="s">
        <v>128</v>
      </c>
      <c r="D8" s="7" t="s">
        <v>129</v>
      </c>
      <c r="E8" s="7" t="s">
        <v>130</v>
      </c>
      <c r="F8" s="7" t="s">
        <v>64</v>
      </c>
      <c r="G8" s="7" t="s">
        <v>87</v>
      </c>
      <c r="H8" s="7" t="s">
        <v>89</v>
      </c>
      <c r="I8" s="7" t="s">
        <v>132</v>
      </c>
      <c r="J8" s="6">
        <v>1987</v>
      </c>
      <c r="K8" s="7">
        <v>90557</v>
      </c>
      <c r="L8" s="8">
        <v>2155</v>
      </c>
      <c r="M8" s="9">
        <v>2.1549999999999998</v>
      </c>
      <c r="N8" s="8">
        <v>120.17</v>
      </c>
      <c r="O8" s="10">
        <v>0.53600000000000003</v>
      </c>
      <c r="P8" s="11">
        <v>46265</v>
      </c>
      <c r="Q8" s="7" t="s">
        <v>134</v>
      </c>
      <c r="R8" s="7" t="s">
        <v>93</v>
      </c>
      <c r="S8" s="7" t="s">
        <v>94</v>
      </c>
      <c r="T8" s="1" t="s">
        <v>135</v>
      </c>
    </row>
    <row r="9" spans="1:20" ht="30" customHeight="1">
      <c r="A9" s="6">
        <v>7</v>
      </c>
      <c r="B9" s="7" t="s">
        <v>136</v>
      </c>
      <c r="C9" s="7" t="s">
        <v>137</v>
      </c>
      <c r="D9" s="7" t="s">
        <v>138</v>
      </c>
      <c r="E9" s="7" t="s">
        <v>86</v>
      </c>
      <c r="F9" s="7" t="s">
        <v>78</v>
      </c>
      <c r="G9" s="7" t="s">
        <v>87</v>
      </c>
      <c r="H9" s="7" t="s">
        <v>140</v>
      </c>
      <c r="I9" s="7" t="s">
        <v>690</v>
      </c>
      <c r="J9" s="6">
        <v>2002</v>
      </c>
      <c r="K9" s="7" t="s">
        <v>690</v>
      </c>
      <c r="L9" s="8">
        <v>1876</v>
      </c>
      <c r="M9" s="9">
        <v>1.8759999999999999</v>
      </c>
      <c r="N9" s="8">
        <v>8.76</v>
      </c>
      <c r="O9" s="10">
        <v>-0.22589999999999999</v>
      </c>
      <c r="P9" s="11">
        <v>46265</v>
      </c>
      <c r="Q9" s="7" t="s">
        <v>143</v>
      </c>
      <c r="R9" s="7" t="s">
        <v>93</v>
      </c>
      <c r="S9" s="29" t="s">
        <v>94</v>
      </c>
      <c r="T9" s="1" t="s">
        <v>144</v>
      </c>
    </row>
    <row r="10" spans="1:20" ht="30" customHeight="1">
      <c r="A10" s="6">
        <v>8</v>
      </c>
      <c r="B10" s="7" t="s">
        <v>145</v>
      </c>
      <c r="C10" s="7" t="s">
        <v>146</v>
      </c>
      <c r="D10" s="7" t="s">
        <v>147</v>
      </c>
      <c r="E10" s="7" t="s">
        <v>86</v>
      </c>
      <c r="F10" s="7" t="s">
        <v>78</v>
      </c>
      <c r="G10" s="7" t="s">
        <v>87</v>
      </c>
      <c r="H10" s="7" t="s">
        <v>89</v>
      </c>
      <c r="I10" s="7" t="s">
        <v>90</v>
      </c>
      <c r="J10" s="6">
        <v>1961</v>
      </c>
      <c r="K10" s="7">
        <v>33000</v>
      </c>
      <c r="L10" s="8">
        <v>1757</v>
      </c>
      <c r="M10" s="9">
        <v>1.7569999999999999</v>
      </c>
      <c r="N10" s="8">
        <v>75.459999999999994</v>
      </c>
      <c r="O10" s="10">
        <v>0.44549999999999995</v>
      </c>
      <c r="P10" s="11">
        <v>46265</v>
      </c>
      <c r="Q10" s="7" t="s">
        <v>150</v>
      </c>
      <c r="R10" s="7" t="s">
        <v>93</v>
      </c>
      <c r="S10" s="29" t="s">
        <v>94</v>
      </c>
      <c r="T10" s="1" t="s">
        <v>151</v>
      </c>
    </row>
    <row r="11" spans="1:20" ht="30" hidden="1" customHeight="1">
      <c r="A11" s="6">
        <v>9</v>
      </c>
      <c r="B11" s="7" t="s">
        <v>152</v>
      </c>
      <c r="C11" s="7" t="s">
        <v>153</v>
      </c>
      <c r="D11" s="7" t="s">
        <v>154</v>
      </c>
      <c r="E11" s="7" t="s">
        <v>133</v>
      </c>
      <c r="F11" s="7" t="s">
        <v>69</v>
      </c>
      <c r="G11" s="7" t="s">
        <v>74</v>
      </c>
      <c r="H11" s="7" t="s">
        <v>155</v>
      </c>
      <c r="I11" s="7" t="s">
        <v>156</v>
      </c>
      <c r="J11" s="6">
        <v>1933</v>
      </c>
      <c r="K11" s="7">
        <v>76664</v>
      </c>
      <c r="L11" s="8">
        <v>1679</v>
      </c>
      <c r="M11" s="9">
        <v>1.679</v>
      </c>
      <c r="N11" s="8">
        <v>459.04</v>
      </c>
      <c r="O11" s="10">
        <v>0.42469999999999997</v>
      </c>
      <c r="P11" s="11">
        <v>46265</v>
      </c>
      <c r="Q11" s="7" t="s">
        <v>157</v>
      </c>
      <c r="R11" s="7" t="s">
        <v>93</v>
      </c>
      <c r="S11" s="7" t="s">
        <v>94</v>
      </c>
      <c r="T11" s="1" t="s">
        <v>158</v>
      </c>
    </row>
    <row r="12" spans="1:20" ht="30" customHeight="1">
      <c r="A12" s="6">
        <v>10</v>
      </c>
      <c r="B12" s="7" t="s">
        <v>159</v>
      </c>
      <c r="C12" s="7" t="s">
        <v>160</v>
      </c>
      <c r="D12" s="7" t="s">
        <v>161</v>
      </c>
      <c r="E12" s="7" t="s">
        <v>86</v>
      </c>
      <c r="F12" s="7" t="s">
        <v>78</v>
      </c>
      <c r="G12" s="7" t="s">
        <v>87</v>
      </c>
      <c r="H12" s="7" t="s">
        <v>162</v>
      </c>
      <c r="I12" s="7" t="s">
        <v>90</v>
      </c>
      <c r="J12" s="6">
        <v>2004</v>
      </c>
      <c r="K12" s="7">
        <v>78865</v>
      </c>
      <c r="L12" s="8">
        <v>1457</v>
      </c>
      <c r="M12" s="9">
        <v>1.4570000000000001</v>
      </c>
      <c r="N12" s="8">
        <v>214.96</v>
      </c>
      <c r="O12" s="10">
        <v>0.42229999999999995</v>
      </c>
      <c r="P12" s="11">
        <v>46265</v>
      </c>
      <c r="Q12" s="7" t="s">
        <v>163</v>
      </c>
      <c r="R12" s="7" t="s">
        <v>93</v>
      </c>
      <c r="S12" s="29" t="s">
        <v>94</v>
      </c>
      <c r="T12" s="1" t="s">
        <v>164</v>
      </c>
    </row>
    <row r="13" spans="1:20" ht="30" customHeight="1">
      <c r="A13" s="6">
        <v>11</v>
      </c>
      <c r="B13" s="7" t="s">
        <v>165</v>
      </c>
      <c r="C13" s="7" t="s">
        <v>166</v>
      </c>
      <c r="D13" s="7" t="s">
        <v>167</v>
      </c>
      <c r="E13" s="7" t="s">
        <v>86</v>
      </c>
      <c r="F13" s="7" t="s">
        <v>78</v>
      </c>
      <c r="G13" s="7" t="s">
        <v>87</v>
      </c>
      <c r="H13" s="7" t="s">
        <v>168</v>
      </c>
      <c r="I13" s="7" t="s">
        <v>90</v>
      </c>
      <c r="J13" s="6">
        <v>2003</v>
      </c>
      <c r="K13" s="7">
        <v>134785</v>
      </c>
      <c r="L13" s="8">
        <v>1448</v>
      </c>
      <c r="M13" s="9">
        <v>1.448</v>
      </c>
      <c r="N13" s="8">
        <v>97.87</v>
      </c>
      <c r="O13" s="10">
        <v>5.9000000000000004E-2</v>
      </c>
      <c r="P13" s="11">
        <v>46265</v>
      </c>
      <c r="Q13" s="7" t="s">
        <v>169</v>
      </c>
      <c r="R13" s="7" t="s">
        <v>93</v>
      </c>
      <c r="S13" s="29" t="s">
        <v>94</v>
      </c>
      <c r="T13" s="1" t="s">
        <v>170</v>
      </c>
    </row>
    <row r="14" spans="1:20" ht="30" hidden="1" customHeight="1">
      <c r="A14" s="6">
        <v>12</v>
      </c>
      <c r="B14" s="7" t="s">
        <v>171</v>
      </c>
      <c r="C14" s="7" t="s">
        <v>172</v>
      </c>
      <c r="D14" s="7" t="s">
        <v>173</v>
      </c>
      <c r="E14" s="7" t="s">
        <v>139</v>
      </c>
      <c r="F14" s="7" t="s">
        <v>64</v>
      </c>
      <c r="G14" s="7" t="s">
        <v>87</v>
      </c>
      <c r="H14" s="7" t="s">
        <v>89</v>
      </c>
      <c r="I14" s="7" t="s">
        <v>174</v>
      </c>
      <c r="J14" s="6">
        <v>1969</v>
      </c>
      <c r="K14" s="7">
        <v>259149</v>
      </c>
      <c r="L14" s="8">
        <v>1248</v>
      </c>
      <c r="M14" s="9">
        <v>1.248</v>
      </c>
      <c r="N14" s="8">
        <v>270.94</v>
      </c>
      <c r="O14" s="10">
        <v>0.25530000000000003</v>
      </c>
      <c r="P14" s="11">
        <v>46265</v>
      </c>
      <c r="Q14" s="7" t="s">
        <v>176</v>
      </c>
      <c r="R14" s="7" t="s">
        <v>93</v>
      </c>
      <c r="S14" s="7" t="s">
        <v>94</v>
      </c>
      <c r="T14" s="1" t="s">
        <v>179</v>
      </c>
    </row>
    <row r="15" spans="1:20" ht="30" customHeight="1">
      <c r="A15" s="6">
        <v>13</v>
      </c>
      <c r="B15" s="7" t="s">
        <v>182</v>
      </c>
      <c r="C15" s="7" t="s">
        <v>184</v>
      </c>
      <c r="D15" s="7" t="s">
        <v>187</v>
      </c>
      <c r="E15" s="7" t="s">
        <v>86</v>
      </c>
      <c r="F15" s="7" t="s">
        <v>78</v>
      </c>
      <c r="G15" s="7" t="s">
        <v>82</v>
      </c>
      <c r="H15" s="7" t="s">
        <v>190</v>
      </c>
      <c r="I15" s="7" t="s">
        <v>191</v>
      </c>
      <c r="J15" s="6">
        <v>1839</v>
      </c>
      <c r="K15" s="7">
        <v>387800</v>
      </c>
      <c r="L15" s="8">
        <v>1078</v>
      </c>
      <c r="M15" s="9">
        <v>1.0780000000000001</v>
      </c>
      <c r="N15" s="8">
        <v>385.68</v>
      </c>
      <c r="O15" s="10">
        <v>0.16010000000000002</v>
      </c>
      <c r="P15" s="11">
        <v>46265</v>
      </c>
      <c r="Q15" s="7" t="s">
        <v>192</v>
      </c>
      <c r="R15" s="7" t="s">
        <v>93</v>
      </c>
      <c r="S15" s="29" t="s">
        <v>94</v>
      </c>
      <c r="T15" s="1" t="s">
        <v>193</v>
      </c>
    </row>
    <row r="16" spans="1:20" ht="30" customHeight="1">
      <c r="A16" s="6">
        <v>14</v>
      </c>
      <c r="B16" s="7" t="s">
        <v>194</v>
      </c>
      <c r="C16" s="7" t="s">
        <v>195</v>
      </c>
      <c r="D16" s="7" t="s">
        <v>196</v>
      </c>
      <c r="E16" s="7" t="s">
        <v>86</v>
      </c>
      <c r="F16" s="7" t="s">
        <v>78</v>
      </c>
      <c r="G16" s="7" t="s">
        <v>87</v>
      </c>
      <c r="H16" s="7" t="s">
        <v>89</v>
      </c>
      <c r="I16" s="7" t="s">
        <v>90</v>
      </c>
      <c r="J16" s="6">
        <v>1978</v>
      </c>
      <c r="K16" s="7">
        <v>53000</v>
      </c>
      <c r="L16" s="8">
        <v>1066</v>
      </c>
      <c r="M16" s="9">
        <v>1.0660000000000001</v>
      </c>
      <c r="N16" s="8">
        <v>90.27</v>
      </c>
      <c r="O16" s="10">
        <v>0.25819999999999999</v>
      </c>
      <c r="P16" s="11">
        <v>46265</v>
      </c>
      <c r="Q16" s="7" t="s">
        <v>197</v>
      </c>
      <c r="R16" s="7" t="s">
        <v>93</v>
      </c>
      <c r="S16" s="29" t="s">
        <v>94</v>
      </c>
      <c r="T16" s="1" t="s">
        <v>198</v>
      </c>
    </row>
    <row r="17" spans="1:20" ht="30" customHeight="1">
      <c r="A17" s="6">
        <v>15</v>
      </c>
      <c r="B17" s="7" t="s">
        <v>199</v>
      </c>
      <c r="C17" s="7" t="s">
        <v>200</v>
      </c>
      <c r="D17" s="7" t="s">
        <v>201</v>
      </c>
      <c r="E17" s="7" t="s">
        <v>86</v>
      </c>
      <c r="F17" s="7" t="s">
        <v>78</v>
      </c>
      <c r="G17" s="7" t="s">
        <v>87</v>
      </c>
      <c r="H17" s="7" t="s">
        <v>203</v>
      </c>
      <c r="I17" s="7" t="s">
        <v>191</v>
      </c>
      <c r="J17" s="6">
        <v>1876</v>
      </c>
      <c r="K17" s="7">
        <v>33000</v>
      </c>
      <c r="L17" s="8">
        <v>1034</v>
      </c>
      <c r="M17" s="9">
        <v>1.034</v>
      </c>
      <c r="N17" s="8">
        <v>72.239999999999995</v>
      </c>
      <c r="O17" s="10">
        <v>0.43070000000000003</v>
      </c>
      <c r="P17" s="11">
        <v>46265</v>
      </c>
      <c r="Q17" s="7" t="s">
        <v>208</v>
      </c>
      <c r="R17" s="7" t="s">
        <v>93</v>
      </c>
      <c r="S17" s="29" t="s">
        <v>94</v>
      </c>
      <c r="T17" s="1" t="s">
        <v>212</v>
      </c>
    </row>
    <row r="18" spans="1:20" ht="30" customHeight="1">
      <c r="A18" s="6">
        <v>16</v>
      </c>
      <c r="B18" s="7" t="s">
        <v>215</v>
      </c>
      <c r="C18" s="7" t="s">
        <v>216</v>
      </c>
      <c r="D18" s="7" t="s">
        <v>217</v>
      </c>
      <c r="E18" s="7" t="s">
        <v>86</v>
      </c>
      <c r="F18" s="7" t="s">
        <v>78</v>
      </c>
      <c r="G18" s="7" t="s">
        <v>82</v>
      </c>
      <c r="H18" s="7" t="s">
        <v>218</v>
      </c>
      <c r="I18" s="7" t="s">
        <v>191</v>
      </c>
      <c r="J18" s="6">
        <v>1799</v>
      </c>
      <c r="K18" s="7">
        <v>318512</v>
      </c>
      <c r="L18" s="8">
        <v>944.99</v>
      </c>
      <c r="M18" s="9">
        <v>0.94499</v>
      </c>
      <c r="N18" s="8">
        <v>186.94</v>
      </c>
      <c r="O18" s="10">
        <v>0.39939999999999998</v>
      </c>
      <c r="P18" s="11">
        <v>46265</v>
      </c>
      <c r="Q18" s="7" t="s">
        <v>219</v>
      </c>
      <c r="R18" s="7" t="s">
        <v>93</v>
      </c>
      <c r="S18" s="29" t="s">
        <v>94</v>
      </c>
      <c r="T18" s="1" t="s">
        <v>220</v>
      </c>
    </row>
    <row r="19" spans="1:20" ht="30" hidden="1" customHeight="1">
      <c r="A19" s="6">
        <v>17</v>
      </c>
      <c r="B19" s="7" t="s">
        <v>221</v>
      </c>
      <c r="C19" s="7" t="s">
        <v>222</v>
      </c>
      <c r="D19" s="7" t="s">
        <v>223</v>
      </c>
      <c r="E19" s="7" t="s">
        <v>139</v>
      </c>
      <c r="F19" s="7" t="s">
        <v>64</v>
      </c>
      <c r="G19" s="7" t="s">
        <v>87</v>
      </c>
      <c r="H19" s="7" t="s">
        <v>89</v>
      </c>
      <c r="I19" s="7" t="s">
        <v>174</v>
      </c>
      <c r="J19" s="6">
        <v>1983</v>
      </c>
      <c r="K19" s="7" t="s">
        <v>224</v>
      </c>
      <c r="L19" s="8">
        <v>868.67</v>
      </c>
      <c r="M19" s="9">
        <v>0.86866999999999994</v>
      </c>
      <c r="N19" s="8">
        <v>91.71</v>
      </c>
      <c r="O19" s="10">
        <v>0.7087</v>
      </c>
      <c r="P19" s="11">
        <v>46265</v>
      </c>
      <c r="Q19" s="7" t="s">
        <v>225</v>
      </c>
      <c r="R19" s="7" t="s">
        <v>93</v>
      </c>
      <c r="S19" s="7" t="s">
        <v>94</v>
      </c>
      <c r="T19" s="1" t="s">
        <v>226</v>
      </c>
    </row>
    <row r="20" spans="1:20" ht="30" customHeight="1">
      <c r="A20" s="6">
        <v>18</v>
      </c>
      <c r="B20" s="7" t="s">
        <v>227</v>
      </c>
      <c r="C20" s="7" t="s">
        <v>228</v>
      </c>
      <c r="D20" s="7" t="s">
        <v>229</v>
      </c>
      <c r="E20" s="7" t="s">
        <v>86</v>
      </c>
      <c r="F20" s="7" t="s">
        <v>78</v>
      </c>
      <c r="G20" s="7" t="s">
        <v>65</v>
      </c>
      <c r="H20" s="7" t="s">
        <v>230</v>
      </c>
      <c r="I20" s="7" t="s">
        <v>90</v>
      </c>
      <c r="J20" s="6">
        <v>1962</v>
      </c>
      <c r="K20" s="7">
        <v>2100000</v>
      </c>
      <c r="L20" s="8">
        <v>835.12</v>
      </c>
      <c r="M20" s="9">
        <v>0.83511999999999997</v>
      </c>
      <c r="N20" s="8">
        <v>725.3</v>
      </c>
      <c r="O20" s="10">
        <v>4.1299999999999996E-2</v>
      </c>
      <c r="P20" s="11">
        <v>46265</v>
      </c>
      <c r="Q20" s="7" t="s">
        <v>231</v>
      </c>
      <c r="R20" s="7" t="s">
        <v>93</v>
      </c>
      <c r="S20" s="29" t="s">
        <v>94</v>
      </c>
      <c r="T20" s="1" t="s">
        <v>232</v>
      </c>
    </row>
    <row r="21" spans="1:20" ht="30" customHeight="1">
      <c r="A21" s="6">
        <v>19</v>
      </c>
      <c r="B21" s="7" t="s">
        <v>233</v>
      </c>
      <c r="C21" s="7" t="s">
        <v>234</v>
      </c>
      <c r="D21" s="7" t="s">
        <v>234</v>
      </c>
      <c r="E21" s="7" t="s">
        <v>86</v>
      </c>
      <c r="F21" s="7" t="s">
        <v>78</v>
      </c>
      <c r="G21" s="7" t="s">
        <v>87</v>
      </c>
      <c r="H21" s="7" t="s">
        <v>89</v>
      </c>
      <c r="I21" s="7" t="s">
        <v>90</v>
      </c>
      <c r="J21" s="6">
        <v>1969</v>
      </c>
      <c r="K21" s="7">
        <v>31000</v>
      </c>
      <c r="L21" s="8">
        <v>764.34</v>
      </c>
      <c r="M21" s="9">
        <v>0.76434000000000002</v>
      </c>
      <c r="N21" s="8">
        <v>37.450000000000003</v>
      </c>
      <c r="O21" s="10">
        <v>0.1195</v>
      </c>
      <c r="P21" s="11">
        <v>46265</v>
      </c>
      <c r="Q21" s="7" t="s">
        <v>235</v>
      </c>
      <c r="R21" s="7" t="s">
        <v>93</v>
      </c>
      <c r="S21" s="29" t="s">
        <v>94</v>
      </c>
      <c r="T21" s="1" t="s">
        <v>236</v>
      </c>
    </row>
    <row r="22" spans="1:20" ht="30" customHeight="1">
      <c r="A22" s="6">
        <v>20</v>
      </c>
      <c r="B22" s="7" t="s">
        <v>237</v>
      </c>
      <c r="C22" s="7" t="s">
        <v>238</v>
      </c>
      <c r="D22" s="7" t="s">
        <v>239</v>
      </c>
      <c r="E22" s="7" t="s">
        <v>86</v>
      </c>
      <c r="F22" s="7" t="s">
        <v>78</v>
      </c>
      <c r="G22" s="7" t="s">
        <v>82</v>
      </c>
      <c r="H22" s="7" t="s">
        <v>240</v>
      </c>
      <c r="I22" s="7" t="s">
        <v>191</v>
      </c>
      <c r="J22" s="6">
        <v>1958</v>
      </c>
      <c r="K22" s="7">
        <v>34100</v>
      </c>
      <c r="L22" s="8">
        <v>709.08</v>
      </c>
      <c r="M22" s="9">
        <v>0.70908000000000004</v>
      </c>
      <c r="N22" s="8">
        <v>43.02</v>
      </c>
      <c r="O22" s="10">
        <v>0.61480000000000001</v>
      </c>
      <c r="P22" s="11">
        <v>46265</v>
      </c>
      <c r="Q22" s="7" t="s">
        <v>241</v>
      </c>
      <c r="R22" s="7" t="s">
        <v>93</v>
      </c>
      <c r="S22" s="29" t="s">
        <v>94</v>
      </c>
      <c r="T22" s="1" t="s">
        <v>242</v>
      </c>
    </row>
    <row r="23" spans="1:20" ht="30" customHeight="1">
      <c r="A23" s="6">
        <v>21</v>
      </c>
      <c r="B23" s="7" t="s">
        <v>243</v>
      </c>
      <c r="C23" s="7" t="s">
        <v>244</v>
      </c>
      <c r="D23" s="7" t="s">
        <v>245</v>
      </c>
      <c r="E23" s="7" t="s">
        <v>86</v>
      </c>
      <c r="F23" s="7" t="s">
        <v>78</v>
      </c>
      <c r="G23" s="7" t="s">
        <v>74</v>
      </c>
      <c r="H23" s="7" t="s">
        <v>155</v>
      </c>
      <c r="I23" s="7" t="s">
        <v>191</v>
      </c>
      <c r="J23" s="6">
        <v>1870</v>
      </c>
      <c r="K23" s="7">
        <v>58000</v>
      </c>
      <c r="L23" s="8">
        <v>659.26</v>
      </c>
      <c r="M23" s="9">
        <v>0.65925999999999996</v>
      </c>
      <c r="N23" s="8">
        <v>326</v>
      </c>
      <c r="O23" s="10">
        <v>0.11230000000000001</v>
      </c>
      <c r="P23" s="11">
        <v>46265</v>
      </c>
      <c r="Q23" s="7" t="s">
        <v>246</v>
      </c>
      <c r="R23" s="7" t="s">
        <v>93</v>
      </c>
      <c r="S23" s="29" t="s">
        <v>94</v>
      </c>
      <c r="T23" s="1" t="s">
        <v>247</v>
      </c>
    </row>
    <row r="24" spans="1:20" ht="30" hidden="1" customHeight="1">
      <c r="A24" s="6">
        <v>22</v>
      </c>
      <c r="B24" s="7" t="s">
        <v>248</v>
      </c>
      <c r="C24" s="7" t="s">
        <v>249</v>
      </c>
      <c r="D24" s="7" t="s">
        <v>249</v>
      </c>
      <c r="E24" s="7" t="s">
        <v>131</v>
      </c>
      <c r="F24" s="7" t="s">
        <v>66</v>
      </c>
      <c r="G24" s="7" t="s">
        <v>87</v>
      </c>
      <c r="H24" s="7" t="s">
        <v>89</v>
      </c>
      <c r="I24" s="7" t="s">
        <v>250</v>
      </c>
      <c r="J24" s="6">
        <v>1984</v>
      </c>
      <c r="K24" s="7">
        <v>44175</v>
      </c>
      <c r="L24" s="8">
        <v>649.33000000000004</v>
      </c>
      <c r="M24" s="9">
        <v>0.64933000000000007</v>
      </c>
      <c r="N24" s="8">
        <v>41.02</v>
      </c>
      <c r="O24" s="10">
        <v>0.34909999999999997</v>
      </c>
      <c r="P24" s="11">
        <v>46265</v>
      </c>
      <c r="Q24" s="7" t="s">
        <v>251</v>
      </c>
      <c r="R24" s="7" t="s">
        <v>93</v>
      </c>
      <c r="S24" s="7" t="s">
        <v>94</v>
      </c>
      <c r="T24" s="1" t="s">
        <v>252</v>
      </c>
    </row>
    <row r="25" spans="1:20" ht="30" customHeight="1">
      <c r="A25" s="6">
        <v>23</v>
      </c>
      <c r="B25" s="7" t="s">
        <v>253</v>
      </c>
      <c r="C25" s="7" t="s">
        <v>254</v>
      </c>
      <c r="D25" s="7" t="s">
        <v>255</v>
      </c>
      <c r="E25" s="7" t="s">
        <v>86</v>
      </c>
      <c r="F25" s="7" t="s">
        <v>78</v>
      </c>
      <c r="G25" s="7" t="s">
        <v>87</v>
      </c>
      <c r="H25" s="7" t="s">
        <v>203</v>
      </c>
      <c r="I25" s="7" t="s">
        <v>191</v>
      </c>
      <c r="J25" s="6">
        <v>1886</v>
      </c>
      <c r="K25" s="7">
        <v>138200</v>
      </c>
      <c r="L25" s="8">
        <v>641.34</v>
      </c>
      <c r="M25" s="9">
        <v>0.64134000000000002</v>
      </c>
      <c r="N25" s="8">
        <v>96.36</v>
      </c>
      <c r="O25" s="10">
        <v>0.3458</v>
      </c>
      <c r="P25" s="11">
        <v>46265</v>
      </c>
      <c r="Q25" s="7" t="s">
        <v>259</v>
      </c>
      <c r="R25" s="7" t="s">
        <v>93</v>
      </c>
      <c r="S25" s="29" t="s">
        <v>94</v>
      </c>
      <c r="T25" s="1" t="s">
        <v>260</v>
      </c>
    </row>
    <row r="26" spans="1:20" ht="30" hidden="1" customHeight="1">
      <c r="A26" s="6">
        <v>24</v>
      </c>
      <c r="B26" s="7" t="s">
        <v>261</v>
      </c>
      <c r="C26" s="7" t="s">
        <v>262</v>
      </c>
      <c r="D26" s="7" t="s">
        <v>263</v>
      </c>
      <c r="E26" s="7" t="s">
        <v>114</v>
      </c>
      <c r="F26" s="7" t="s">
        <v>64</v>
      </c>
      <c r="G26" s="7" t="s">
        <v>87</v>
      </c>
      <c r="H26" s="7" t="s">
        <v>89</v>
      </c>
      <c r="I26" s="7" t="s">
        <v>264</v>
      </c>
      <c r="J26" s="6">
        <v>2016</v>
      </c>
      <c r="K26" s="7" t="s">
        <v>224</v>
      </c>
      <c r="L26" s="8">
        <v>611.37</v>
      </c>
      <c r="M26" s="9">
        <v>0.61136999999999997</v>
      </c>
      <c r="N26" s="8">
        <v>15.24</v>
      </c>
      <c r="O26" s="10">
        <v>0.43189999999999995</v>
      </c>
      <c r="P26" s="11">
        <v>46265</v>
      </c>
      <c r="Q26" s="7" t="s">
        <v>265</v>
      </c>
      <c r="R26" s="7" t="s">
        <v>93</v>
      </c>
      <c r="S26" s="7" t="s">
        <v>94</v>
      </c>
      <c r="T26" s="1" t="s">
        <v>266</v>
      </c>
    </row>
    <row r="27" spans="1:20" ht="30" hidden="1" customHeight="1">
      <c r="A27" s="6">
        <v>25</v>
      </c>
      <c r="B27" s="7" t="s">
        <v>267</v>
      </c>
      <c r="C27" s="7" t="s">
        <v>268</v>
      </c>
      <c r="D27" s="7" t="s">
        <v>269</v>
      </c>
      <c r="E27" s="7" t="s">
        <v>114</v>
      </c>
      <c r="F27" s="7" t="s">
        <v>64</v>
      </c>
      <c r="G27" s="7" t="s">
        <v>87</v>
      </c>
      <c r="H27" s="7" t="s">
        <v>162</v>
      </c>
      <c r="I27" s="7" t="s">
        <v>270</v>
      </c>
      <c r="J27" s="6">
        <v>1998</v>
      </c>
      <c r="K27" s="7">
        <v>87412</v>
      </c>
      <c r="L27" s="8">
        <v>516.34</v>
      </c>
      <c r="M27" s="9">
        <v>0.51634000000000002</v>
      </c>
      <c r="N27" s="8">
        <v>111.76</v>
      </c>
      <c r="O27" s="10">
        <v>0.36869999999999997</v>
      </c>
      <c r="P27" s="11">
        <v>46265</v>
      </c>
      <c r="Q27" s="7" t="s">
        <v>271</v>
      </c>
      <c r="R27" s="7" t="s">
        <v>93</v>
      </c>
      <c r="S27" s="7" t="s">
        <v>94</v>
      </c>
      <c r="T27" s="1" t="s">
        <v>272</v>
      </c>
    </row>
    <row r="28" spans="1:20" ht="30" customHeight="1">
      <c r="A28" s="6">
        <v>26</v>
      </c>
      <c r="B28" s="7" t="s">
        <v>273</v>
      </c>
      <c r="C28" s="7" t="s">
        <v>274</v>
      </c>
      <c r="D28" s="7" t="s">
        <v>275</v>
      </c>
      <c r="E28" s="7" t="s">
        <v>86</v>
      </c>
      <c r="F28" s="7" t="s">
        <v>78</v>
      </c>
      <c r="G28" s="7" t="s">
        <v>82</v>
      </c>
      <c r="H28" s="7" t="s">
        <v>240</v>
      </c>
      <c r="I28" s="7" t="s">
        <v>191</v>
      </c>
      <c r="J28" s="6">
        <v>1966</v>
      </c>
      <c r="K28" s="7">
        <v>39800</v>
      </c>
      <c r="L28" s="8">
        <v>515.75</v>
      </c>
      <c r="M28" s="9">
        <v>0.51575000000000004</v>
      </c>
      <c r="N28" s="8">
        <v>33.93</v>
      </c>
      <c r="O28" s="10">
        <v>0.57040000000000002</v>
      </c>
      <c r="P28" s="11">
        <v>46265</v>
      </c>
      <c r="Q28" s="7" t="s">
        <v>278</v>
      </c>
      <c r="R28" s="7" t="s">
        <v>93</v>
      </c>
      <c r="S28" s="29" t="s">
        <v>94</v>
      </c>
      <c r="T28" s="1" t="s">
        <v>279</v>
      </c>
    </row>
    <row r="29" spans="1:20" ht="30" customHeight="1">
      <c r="A29" s="6">
        <v>27</v>
      </c>
      <c r="B29" s="7" t="s">
        <v>280</v>
      </c>
      <c r="C29" s="7" t="s">
        <v>281</v>
      </c>
      <c r="D29" s="7" t="s">
        <v>282</v>
      </c>
      <c r="E29" s="7" t="s">
        <v>86</v>
      </c>
      <c r="F29" s="7" t="s">
        <v>78</v>
      </c>
      <c r="G29" s="7" t="s">
        <v>87</v>
      </c>
      <c r="H29" s="7" t="s">
        <v>89</v>
      </c>
      <c r="I29" s="7" t="s">
        <v>90</v>
      </c>
      <c r="J29" s="6">
        <v>1968</v>
      </c>
      <c r="K29" s="7">
        <v>85100</v>
      </c>
      <c r="L29" s="8">
        <v>472.57</v>
      </c>
      <c r="M29" s="9">
        <v>0.47256999999999999</v>
      </c>
      <c r="N29" s="8">
        <v>53.76</v>
      </c>
      <c r="O29" s="10">
        <v>2.9399999999999999E-2</v>
      </c>
      <c r="P29" s="11">
        <v>46265</v>
      </c>
      <c r="Q29" s="7" t="s">
        <v>283</v>
      </c>
      <c r="R29" s="7" t="s">
        <v>93</v>
      </c>
      <c r="S29" s="29" t="s">
        <v>94</v>
      </c>
      <c r="T29" s="1" t="s">
        <v>284</v>
      </c>
    </row>
    <row r="30" spans="1:20" ht="30" customHeight="1">
      <c r="A30" s="6">
        <v>28</v>
      </c>
      <c r="B30" s="7" t="s">
        <v>285</v>
      </c>
      <c r="C30" s="7" t="s">
        <v>286</v>
      </c>
      <c r="D30" s="7" t="s">
        <v>287</v>
      </c>
      <c r="E30" s="7" t="s">
        <v>86</v>
      </c>
      <c r="F30" s="7" t="s">
        <v>78</v>
      </c>
      <c r="G30" s="7" t="s">
        <v>87</v>
      </c>
      <c r="H30" s="7" t="s">
        <v>203</v>
      </c>
      <c r="I30" s="7" t="s">
        <v>191</v>
      </c>
      <c r="J30" s="6">
        <v>2013</v>
      </c>
      <c r="K30" s="7">
        <v>57000</v>
      </c>
      <c r="L30" s="8">
        <v>455.42</v>
      </c>
      <c r="M30" s="9">
        <v>0.45541999999999999</v>
      </c>
      <c r="N30" s="8">
        <v>62.81</v>
      </c>
      <c r="O30" s="10">
        <v>9.5100000000000004E-2</v>
      </c>
      <c r="P30" s="11">
        <v>46265</v>
      </c>
      <c r="Q30" s="7" t="s">
        <v>288</v>
      </c>
      <c r="R30" s="7" t="s">
        <v>93</v>
      </c>
      <c r="S30" s="29" t="s">
        <v>94</v>
      </c>
      <c r="T30" s="1" t="s">
        <v>289</v>
      </c>
    </row>
    <row r="31" spans="1:20" ht="30" customHeight="1">
      <c r="A31" s="6">
        <v>29</v>
      </c>
      <c r="B31" s="7" t="s">
        <v>290</v>
      </c>
      <c r="C31" s="7" t="s">
        <v>291</v>
      </c>
      <c r="D31" s="7" t="s">
        <v>292</v>
      </c>
      <c r="E31" s="7" t="s">
        <v>86</v>
      </c>
      <c r="F31" s="7" t="s">
        <v>78</v>
      </c>
      <c r="G31" s="7" t="s">
        <v>87</v>
      </c>
      <c r="H31" s="7" t="s">
        <v>100</v>
      </c>
      <c r="I31" s="7" t="s">
        <v>90</v>
      </c>
      <c r="J31" s="6">
        <v>2003</v>
      </c>
      <c r="K31" s="7">
        <v>4429</v>
      </c>
      <c r="L31" s="8">
        <v>449.94</v>
      </c>
      <c r="M31" s="9">
        <v>0.44994000000000001</v>
      </c>
      <c r="N31" s="8">
        <v>5.22</v>
      </c>
      <c r="O31" s="10">
        <v>0.44450000000000001</v>
      </c>
      <c r="P31" s="11">
        <v>46265</v>
      </c>
      <c r="Q31" s="7" t="s">
        <v>293</v>
      </c>
      <c r="R31" s="7" t="s">
        <v>93</v>
      </c>
      <c r="S31" s="29" t="s">
        <v>94</v>
      </c>
      <c r="T31" s="1" t="s">
        <v>294</v>
      </c>
    </row>
    <row r="32" spans="1:20" ht="30" customHeight="1">
      <c r="A32" s="6">
        <v>30</v>
      </c>
      <c r="B32" s="7" t="s">
        <v>295</v>
      </c>
      <c r="C32" s="7" t="s">
        <v>296</v>
      </c>
      <c r="D32" s="7" t="s">
        <v>297</v>
      </c>
      <c r="E32" s="7" t="s">
        <v>86</v>
      </c>
      <c r="F32" s="7" t="s">
        <v>78</v>
      </c>
      <c r="G32" s="7" t="s">
        <v>87</v>
      </c>
      <c r="H32" s="7" t="s">
        <v>140</v>
      </c>
      <c r="I32" s="7" t="s">
        <v>90</v>
      </c>
      <c r="J32" s="6">
        <v>1984</v>
      </c>
      <c r="K32" s="7">
        <v>86200</v>
      </c>
      <c r="L32" s="8">
        <v>436.49</v>
      </c>
      <c r="M32" s="9">
        <v>0.43648999999999999</v>
      </c>
      <c r="N32" s="8">
        <v>60.74</v>
      </c>
      <c r="O32" s="10">
        <v>0.19589999999999999</v>
      </c>
      <c r="P32" s="11">
        <v>46265</v>
      </c>
      <c r="Q32" s="7" t="s">
        <v>298</v>
      </c>
      <c r="R32" s="7" t="s">
        <v>93</v>
      </c>
      <c r="S32" s="29" t="s">
        <v>94</v>
      </c>
      <c r="T32" s="1" t="s">
        <v>299</v>
      </c>
    </row>
    <row r="33" spans="1:20" ht="30" customHeight="1">
      <c r="A33" s="6">
        <v>31</v>
      </c>
      <c r="B33" s="7" t="s">
        <v>300</v>
      </c>
      <c r="C33" s="7" t="s">
        <v>301</v>
      </c>
      <c r="D33" s="7" t="s">
        <v>302</v>
      </c>
      <c r="E33" s="7" t="s">
        <v>86</v>
      </c>
      <c r="F33" s="7" t="s">
        <v>78</v>
      </c>
      <c r="G33" s="7" t="s">
        <v>82</v>
      </c>
      <c r="H33" s="7" t="s">
        <v>218</v>
      </c>
      <c r="I33" s="7" t="s">
        <v>191</v>
      </c>
      <c r="J33" s="6">
        <v>1784</v>
      </c>
      <c r="K33" s="7">
        <v>213000</v>
      </c>
      <c r="L33" s="8">
        <v>432.95</v>
      </c>
      <c r="M33" s="9">
        <v>0.43295</v>
      </c>
      <c r="N33" s="8">
        <v>116</v>
      </c>
      <c r="O33" s="10">
        <v>0.34460000000000002</v>
      </c>
      <c r="P33" s="11">
        <v>46265</v>
      </c>
      <c r="Q33" s="7" t="s">
        <v>303</v>
      </c>
      <c r="R33" s="7" t="s">
        <v>93</v>
      </c>
      <c r="S33" s="29" t="s">
        <v>94</v>
      </c>
      <c r="T33" s="1" t="s">
        <v>304</v>
      </c>
    </row>
    <row r="34" spans="1:20" ht="30" customHeight="1">
      <c r="A34" s="6">
        <v>32</v>
      </c>
      <c r="B34" s="7" t="s">
        <v>305</v>
      </c>
      <c r="C34" s="7" t="s">
        <v>306</v>
      </c>
      <c r="D34" s="7" t="s">
        <v>307</v>
      </c>
      <c r="E34" s="7" t="s">
        <v>86</v>
      </c>
      <c r="F34" s="7" t="s">
        <v>78</v>
      </c>
      <c r="G34" s="7" t="s">
        <v>87</v>
      </c>
      <c r="H34" s="7" t="s">
        <v>100</v>
      </c>
      <c r="I34" s="7" t="s">
        <v>191</v>
      </c>
      <c r="J34" s="6">
        <v>1977</v>
      </c>
      <c r="K34" s="7">
        <v>141000</v>
      </c>
      <c r="L34" s="8">
        <v>431.29</v>
      </c>
      <c r="M34" s="9">
        <v>0.43129000000000001</v>
      </c>
      <c r="N34" s="8">
        <v>67.349999999999994</v>
      </c>
      <c r="O34" s="10">
        <v>0.2903</v>
      </c>
      <c r="P34" s="11">
        <v>46265</v>
      </c>
      <c r="Q34" s="7" t="s">
        <v>308</v>
      </c>
      <c r="R34" s="7" t="s">
        <v>93</v>
      </c>
      <c r="S34" s="29" t="s">
        <v>94</v>
      </c>
      <c r="T34" s="1" t="s">
        <v>309</v>
      </c>
    </row>
    <row r="35" spans="1:20" ht="30" hidden="1" customHeight="1">
      <c r="A35" s="6">
        <v>33</v>
      </c>
      <c r="B35" s="7" t="s">
        <v>310</v>
      </c>
      <c r="C35" s="7" t="s">
        <v>311</v>
      </c>
      <c r="D35" s="7" t="s">
        <v>312</v>
      </c>
      <c r="E35" s="7" t="s">
        <v>114</v>
      </c>
      <c r="F35" s="7" t="s">
        <v>64</v>
      </c>
      <c r="G35" s="7" t="s">
        <v>82</v>
      </c>
      <c r="H35" s="7" t="s">
        <v>218</v>
      </c>
      <c r="I35" s="7" t="s">
        <v>313</v>
      </c>
      <c r="J35" s="6">
        <v>1954</v>
      </c>
      <c r="K35" s="7">
        <v>378344</v>
      </c>
      <c r="L35" s="8">
        <v>427.48</v>
      </c>
      <c r="M35" s="9">
        <v>0.42748000000000003</v>
      </c>
      <c r="N35" s="8">
        <v>112.1</v>
      </c>
      <c r="O35" s="10">
        <v>0.47</v>
      </c>
      <c r="P35" s="11">
        <v>46265</v>
      </c>
      <c r="Q35" s="7" t="s">
        <v>314</v>
      </c>
      <c r="R35" s="7" t="s">
        <v>93</v>
      </c>
      <c r="S35" s="7" t="s">
        <v>94</v>
      </c>
      <c r="T35" s="1" t="s">
        <v>315</v>
      </c>
    </row>
    <row r="36" spans="1:20" ht="30" customHeight="1">
      <c r="A36" s="6">
        <v>34</v>
      </c>
      <c r="B36" s="7" t="s">
        <v>316</v>
      </c>
      <c r="C36" s="7" t="s">
        <v>317</v>
      </c>
      <c r="D36" s="7" t="s">
        <v>318</v>
      </c>
      <c r="E36" s="7" t="s">
        <v>86</v>
      </c>
      <c r="F36" s="7" t="s">
        <v>78</v>
      </c>
      <c r="G36" s="7" t="s">
        <v>65</v>
      </c>
      <c r="H36" s="7" t="s">
        <v>230</v>
      </c>
      <c r="I36" s="7" t="s">
        <v>90</v>
      </c>
      <c r="J36" s="6">
        <v>1983</v>
      </c>
      <c r="K36" s="7">
        <v>341000</v>
      </c>
      <c r="L36" s="8">
        <v>418.36</v>
      </c>
      <c r="M36" s="9">
        <v>0.41836000000000001</v>
      </c>
      <c r="N36" s="8">
        <v>293.58</v>
      </c>
      <c r="O36" s="10">
        <v>3.9300000000000002E-2</v>
      </c>
      <c r="P36" s="11">
        <v>46265</v>
      </c>
      <c r="Q36" s="7" t="s">
        <v>319</v>
      </c>
      <c r="R36" s="7" t="s">
        <v>93</v>
      </c>
      <c r="S36" s="29" t="s">
        <v>94</v>
      </c>
      <c r="T36" s="1" t="s">
        <v>320</v>
      </c>
    </row>
    <row r="37" spans="1:20" ht="30" customHeight="1">
      <c r="A37" s="6">
        <v>35</v>
      </c>
      <c r="B37" s="7" t="s">
        <v>321</v>
      </c>
      <c r="C37" s="7" t="s">
        <v>322</v>
      </c>
      <c r="D37" s="7" t="s">
        <v>323</v>
      </c>
      <c r="E37" s="7" t="s">
        <v>86</v>
      </c>
      <c r="F37" s="7" t="s">
        <v>78</v>
      </c>
      <c r="G37" s="7" t="s">
        <v>74</v>
      </c>
      <c r="H37" s="7" t="s">
        <v>155</v>
      </c>
      <c r="I37" s="7" t="s">
        <v>191</v>
      </c>
      <c r="J37" s="6">
        <v>1879</v>
      </c>
      <c r="K37" s="7">
        <v>43039</v>
      </c>
      <c r="L37" s="8">
        <v>403.25</v>
      </c>
      <c r="M37" s="9">
        <v>0.40325</v>
      </c>
      <c r="N37" s="8">
        <v>185.88</v>
      </c>
      <c r="O37" s="10">
        <v>0.10460000000000001</v>
      </c>
      <c r="P37" s="11">
        <v>46265</v>
      </c>
      <c r="Q37" s="7" t="s">
        <v>324</v>
      </c>
      <c r="R37" s="7" t="s">
        <v>93</v>
      </c>
      <c r="S37" s="29" t="s">
        <v>94</v>
      </c>
      <c r="T37" s="1" t="s">
        <v>325</v>
      </c>
    </row>
    <row r="38" spans="1:20" ht="30" customHeight="1">
      <c r="A38" s="6">
        <v>36</v>
      </c>
      <c r="B38" s="7" t="s">
        <v>326</v>
      </c>
      <c r="C38" s="7" t="s">
        <v>327</v>
      </c>
      <c r="D38" s="7" t="s">
        <v>328</v>
      </c>
      <c r="E38" s="7" t="s">
        <v>86</v>
      </c>
      <c r="F38" s="7" t="s">
        <v>78</v>
      </c>
      <c r="G38" s="7" t="s">
        <v>67</v>
      </c>
      <c r="H38" s="7" t="s">
        <v>329</v>
      </c>
      <c r="I38" s="7" t="s">
        <v>191</v>
      </c>
      <c r="J38" s="6">
        <v>1886</v>
      </c>
      <c r="K38" s="7">
        <v>65900</v>
      </c>
      <c r="L38" s="8">
        <v>382.15</v>
      </c>
      <c r="M38" s="9">
        <v>0.38214999999999999</v>
      </c>
      <c r="N38" s="8">
        <v>49.28</v>
      </c>
      <c r="O38" s="10">
        <v>0.3337</v>
      </c>
      <c r="P38" s="11">
        <v>46265</v>
      </c>
      <c r="Q38" s="7" t="s">
        <v>330</v>
      </c>
      <c r="R38" s="7" t="s">
        <v>93</v>
      </c>
      <c r="S38" s="29" t="s">
        <v>94</v>
      </c>
      <c r="T38" s="1" t="s">
        <v>331</v>
      </c>
    </row>
    <row r="39" spans="1:20" ht="30" customHeight="1">
      <c r="A39" s="6">
        <v>37</v>
      </c>
      <c r="B39" s="7" t="s">
        <v>332</v>
      </c>
      <c r="C39" s="7" t="s">
        <v>333</v>
      </c>
      <c r="D39" s="7" t="s">
        <v>334</v>
      </c>
      <c r="E39" s="7" t="s">
        <v>86</v>
      </c>
      <c r="F39" s="7" t="s">
        <v>78</v>
      </c>
      <c r="G39" s="7" t="s">
        <v>87</v>
      </c>
      <c r="H39" s="7" t="s">
        <v>89</v>
      </c>
      <c r="I39" s="7" t="s">
        <v>90</v>
      </c>
      <c r="J39" s="6">
        <v>1980</v>
      </c>
      <c r="K39" s="7">
        <v>23300</v>
      </c>
      <c r="L39" s="8">
        <v>376.17</v>
      </c>
      <c r="M39" s="9">
        <v>0.37617</v>
      </c>
      <c r="N39" s="8">
        <v>21.68</v>
      </c>
      <c r="O39" s="10">
        <v>0.34520000000000001</v>
      </c>
      <c r="P39" s="11">
        <v>46265</v>
      </c>
      <c r="Q39" s="7" t="s">
        <v>335</v>
      </c>
      <c r="R39" s="7" t="s">
        <v>93</v>
      </c>
      <c r="S39" s="29" t="s">
        <v>94</v>
      </c>
      <c r="T39" s="1" t="s">
        <v>336</v>
      </c>
    </row>
    <row r="40" spans="1:20" ht="30" customHeight="1">
      <c r="A40" s="6">
        <v>38</v>
      </c>
      <c r="B40" s="7" t="s">
        <v>337</v>
      </c>
      <c r="C40" s="7" t="s">
        <v>338</v>
      </c>
      <c r="D40" s="7" t="s">
        <v>339</v>
      </c>
      <c r="E40" s="7" t="s">
        <v>86</v>
      </c>
      <c r="F40" s="7" t="s">
        <v>78</v>
      </c>
      <c r="G40" s="7" t="s">
        <v>96</v>
      </c>
      <c r="H40" s="7" t="s">
        <v>340</v>
      </c>
      <c r="I40" s="7" t="s">
        <v>191</v>
      </c>
      <c r="J40" s="6">
        <v>1925</v>
      </c>
      <c r="K40" s="7">
        <v>118000</v>
      </c>
      <c r="L40" s="8">
        <v>365.84</v>
      </c>
      <c r="M40" s="9">
        <v>0.36584</v>
      </c>
      <c r="N40" s="8">
        <v>70.75</v>
      </c>
      <c r="O40" s="10">
        <v>0.17069999999999999</v>
      </c>
      <c r="P40" s="11">
        <v>46265</v>
      </c>
      <c r="Q40" s="7" t="s">
        <v>341</v>
      </c>
      <c r="R40" s="7" t="s">
        <v>93</v>
      </c>
      <c r="S40" s="29" t="s">
        <v>94</v>
      </c>
      <c r="T40" s="1" t="s">
        <v>342</v>
      </c>
    </row>
    <row r="41" spans="1:20" ht="30" customHeight="1">
      <c r="A41" s="6">
        <v>39</v>
      </c>
      <c r="B41" s="7" t="s">
        <v>343</v>
      </c>
      <c r="C41" s="7" t="s">
        <v>344</v>
      </c>
      <c r="D41" s="7" t="s">
        <v>345</v>
      </c>
      <c r="E41" s="7" t="s">
        <v>86</v>
      </c>
      <c r="F41" s="7" t="s">
        <v>78</v>
      </c>
      <c r="G41" s="7" t="s">
        <v>87</v>
      </c>
      <c r="H41" s="7" t="s">
        <v>203</v>
      </c>
      <c r="I41" s="7" t="s">
        <v>191</v>
      </c>
      <c r="J41" s="6">
        <v>1891</v>
      </c>
      <c r="K41" s="7">
        <v>75000</v>
      </c>
      <c r="L41" s="8">
        <v>365.65</v>
      </c>
      <c r="M41" s="9">
        <v>0.36564999999999998</v>
      </c>
      <c r="N41" s="8">
        <v>65.760000000000005</v>
      </c>
      <c r="O41" s="10">
        <v>0.32400000000000001</v>
      </c>
      <c r="P41" s="11">
        <v>46265</v>
      </c>
      <c r="Q41" s="7" t="s">
        <v>346</v>
      </c>
      <c r="R41" s="7" t="s">
        <v>93</v>
      </c>
      <c r="S41" s="29" t="s">
        <v>94</v>
      </c>
      <c r="T41" s="1" t="s">
        <v>347</v>
      </c>
    </row>
    <row r="42" spans="1:20" ht="30" customHeight="1">
      <c r="A42" s="6">
        <v>40</v>
      </c>
      <c r="B42" s="7" t="s">
        <v>348</v>
      </c>
      <c r="C42" s="7" t="s">
        <v>349</v>
      </c>
      <c r="D42" s="7" t="s">
        <v>350</v>
      </c>
      <c r="E42" s="7" t="s">
        <v>86</v>
      </c>
      <c r="F42" s="7" t="s">
        <v>78</v>
      </c>
      <c r="G42" s="7" t="s">
        <v>87</v>
      </c>
      <c r="H42" s="7" t="s">
        <v>89</v>
      </c>
      <c r="I42" s="7" t="s">
        <v>90</v>
      </c>
      <c r="J42" s="6">
        <v>1967</v>
      </c>
      <c r="K42" s="7">
        <v>36500</v>
      </c>
      <c r="L42" s="8">
        <v>362.83</v>
      </c>
      <c r="M42" s="9">
        <v>0.36282999999999999</v>
      </c>
      <c r="N42" s="8">
        <v>29.02</v>
      </c>
      <c r="O42" s="10">
        <v>0.32679999999999998</v>
      </c>
      <c r="P42" s="11">
        <v>46265</v>
      </c>
      <c r="Q42" s="7" t="s">
        <v>351</v>
      </c>
      <c r="R42" s="7" t="s">
        <v>93</v>
      </c>
      <c r="S42" s="29" t="s">
        <v>94</v>
      </c>
      <c r="T42" s="1" t="s">
        <v>352</v>
      </c>
    </row>
    <row r="43" spans="1:20" ht="30" hidden="1" customHeight="1">
      <c r="A43" s="6">
        <v>41</v>
      </c>
      <c r="B43" s="7" t="s">
        <v>353</v>
      </c>
      <c r="C43" s="7" t="s">
        <v>354</v>
      </c>
      <c r="D43" s="7" t="s">
        <v>355</v>
      </c>
      <c r="E43" s="7" t="s">
        <v>114</v>
      </c>
      <c r="F43" s="7" t="s">
        <v>64</v>
      </c>
      <c r="G43" s="7" t="s">
        <v>82</v>
      </c>
      <c r="H43" s="7" t="s">
        <v>218</v>
      </c>
      <c r="I43" s="7" t="s">
        <v>313</v>
      </c>
      <c r="J43" s="6">
        <v>1951</v>
      </c>
      <c r="K43" s="7">
        <v>457835</v>
      </c>
      <c r="L43" s="8">
        <v>361.05</v>
      </c>
      <c r="M43" s="9">
        <v>0.36105000000000004</v>
      </c>
      <c r="N43" s="8">
        <v>105.69</v>
      </c>
      <c r="O43" s="10">
        <v>0.4365</v>
      </c>
      <c r="P43" s="11">
        <v>46265</v>
      </c>
      <c r="Q43" s="7" t="s">
        <v>356</v>
      </c>
      <c r="R43" s="7" t="s">
        <v>93</v>
      </c>
      <c r="S43" s="7" t="s">
        <v>94</v>
      </c>
      <c r="T43" s="1" t="s">
        <v>357</v>
      </c>
    </row>
    <row r="44" spans="1:20" ht="30" hidden="1" customHeight="1">
      <c r="A44" s="6">
        <v>42</v>
      </c>
      <c r="B44" s="7" t="s">
        <v>358</v>
      </c>
      <c r="C44" s="7" t="s">
        <v>359</v>
      </c>
      <c r="D44" s="7" t="s">
        <v>360</v>
      </c>
      <c r="E44" s="7" t="s">
        <v>142</v>
      </c>
      <c r="F44" s="7" t="s">
        <v>66</v>
      </c>
      <c r="G44" s="7" t="s">
        <v>87</v>
      </c>
      <c r="H44" s="7" t="s">
        <v>203</v>
      </c>
      <c r="I44" s="7" t="s">
        <v>361</v>
      </c>
      <c r="J44" s="6">
        <v>1896</v>
      </c>
      <c r="K44" s="7">
        <v>112774</v>
      </c>
      <c r="L44" s="8">
        <v>355.34</v>
      </c>
      <c r="M44" s="9">
        <v>0.35533999999999999</v>
      </c>
      <c r="N44" s="8">
        <v>76.09</v>
      </c>
      <c r="O44" s="10">
        <v>0.26780000000000004</v>
      </c>
      <c r="P44" s="11">
        <v>46265</v>
      </c>
      <c r="Q44" s="7" t="s">
        <v>362</v>
      </c>
      <c r="R44" s="7" t="s">
        <v>93</v>
      </c>
      <c r="S44" s="7" t="s">
        <v>94</v>
      </c>
      <c r="T44" s="1" t="s">
        <v>363</v>
      </c>
    </row>
    <row r="45" spans="1:20" ht="30" hidden="1" customHeight="1">
      <c r="A45" s="6">
        <v>43</v>
      </c>
      <c r="B45" s="7" t="s">
        <v>364</v>
      </c>
      <c r="C45" s="7" t="s">
        <v>365</v>
      </c>
      <c r="D45" s="7" t="s">
        <v>365</v>
      </c>
      <c r="E45" s="7" t="s">
        <v>149</v>
      </c>
      <c r="F45" s="7" t="s">
        <v>66</v>
      </c>
      <c r="G45" s="7" t="s">
        <v>82</v>
      </c>
      <c r="H45" s="7" t="s">
        <v>218</v>
      </c>
      <c r="I45" s="7" t="s">
        <v>366</v>
      </c>
      <c r="J45" s="6">
        <v>1865</v>
      </c>
      <c r="K45" s="7">
        <v>211479</v>
      </c>
      <c r="L45" s="8">
        <v>352.76</v>
      </c>
      <c r="M45" s="9">
        <v>0.35276000000000002</v>
      </c>
      <c r="N45" s="8">
        <v>72.400000000000006</v>
      </c>
      <c r="O45" s="10">
        <v>0.41149999999999998</v>
      </c>
      <c r="P45" s="11">
        <v>46265</v>
      </c>
      <c r="Q45" s="7" t="s">
        <v>367</v>
      </c>
      <c r="R45" s="7" t="s">
        <v>93</v>
      </c>
      <c r="S45" s="7" t="s">
        <v>94</v>
      </c>
      <c r="T45" s="1" t="s">
        <v>368</v>
      </c>
    </row>
    <row r="46" spans="1:20" ht="30" customHeight="1">
      <c r="A46" s="6">
        <v>44</v>
      </c>
      <c r="B46" s="7" t="s">
        <v>369</v>
      </c>
      <c r="C46" s="7" t="s">
        <v>370</v>
      </c>
      <c r="D46" s="7" t="s">
        <v>371</v>
      </c>
      <c r="E46" s="7" t="s">
        <v>86</v>
      </c>
      <c r="F46" s="7" t="s">
        <v>78</v>
      </c>
      <c r="G46" s="7" t="s">
        <v>82</v>
      </c>
      <c r="H46" s="7" t="s">
        <v>372</v>
      </c>
      <c r="I46" s="7" t="s">
        <v>191</v>
      </c>
      <c r="J46" s="6">
        <v>1977</v>
      </c>
      <c r="K46" s="7">
        <v>390000</v>
      </c>
      <c r="L46" s="8">
        <v>349.97</v>
      </c>
      <c r="M46" s="9">
        <v>0.34997</v>
      </c>
      <c r="N46" s="8">
        <v>449.71</v>
      </c>
      <c r="O46" s="10">
        <v>3.2300000000000002E-2</v>
      </c>
      <c r="P46" s="11">
        <v>46265</v>
      </c>
      <c r="Q46" s="7" t="s">
        <v>373</v>
      </c>
      <c r="R46" s="7" t="s">
        <v>93</v>
      </c>
      <c r="S46" s="29" t="s">
        <v>94</v>
      </c>
      <c r="T46" s="1" t="s">
        <v>374</v>
      </c>
    </row>
    <row r="47" spans="1:20" ht="30" customHeight="1">
      <c r="A47" s="6">
        <v>45</v>
      </c>
      <c r="B47" s="7" t="s">
        <v>375</v>
      </c>
      <c r="C47" s="7" t="s">
        <v>376</v>
      </c>
      <c r="D47" s="7" t="s">
        <v>377</v>
      </c>
      <c r="E47" s="7" t="s">
        <v>86</v>
      </c>
      <c r="F47" s="7" t="s">
        <v>78</v>
      </c>
      <c r="G47" s="7" t="s">
        <v>88</v>
      </c>
      <c r="H47" s="7" t="s">
        <v>378</v>
      </c>
      <c r="I47" s="7" t="s">
        <v>191</v>
      </c>
      <c r="J47" s="6">
        <v>1892</v>
      </c>
      <c r="K47" s="7">
        <v>57000</v>
      </c>
      <c r="L47" s="8">
        <v>348.6</v>
      </c>
      <c r="M47" s="9">
        <v>0.34860000000000002</v>
      </c>
      <c r="N47" s="8">
        <v>50.63</v>
      </c>
      <c r="O47" s="10">
        <v>0.218</v>
      </c>
      <c r="P47" s="11">
        <v>46265</v>
      </c>
      <c r="Q47" s="7" t="s">
        <v>379</v>
      </c>
      <c r="R47" s="7" t="s">
        <v>93</v>
      </c>
      <c r="S47" s="29" t="s">
        <v>94</v>
      </c>
      <c r="T47" s="1" t="s">
        <v>380</v>
      </c>
    </row>
    <row r="48" spans="1:20" ht="30" hidden="1" customHeight="1">
      <c r="A48" s="6">
        <v>46</v>
      </c>
      <c r="B48" s="7" t="s">
        <v>381</v>
      </c>
      <c r="C48" s="7" t="s">
        <v>382</v>
      </c>
      <c r="D48" s="7" t="s">
        <v>383</v>
      </c>
      <c r="E48" s="7" t="s">
        <v>114</v>
      </c>
      <c r="F48" s="7" t="s">
        <v>64</v>
      </c>
      <c r="G48" s="7" t="s">
        <v>82</v>
      </c>
      <c r="H48" s="7" t="s">
        <v>218</v>
      </c>
      <c r="I48" s="7" t="s">
        <v>384</v>
      </c>
      <c r="J48" s="6">
        <v>1984</v>
      </c>
      <c r="K48" s="7" t="s">
        <v>224</v>
      </c>
      <c r="L48" s="8">
        <v>344.19</v>
      </c>
      <c r="M48" s="9">
        <v>0.34419</v>
      </c>
      <c r="N48" s="8">
        <v>120.28</v>
      </c>
      <c r="O48" s="10" t="s">
        <v>385</v>
      </c>
      <c r="P48" s="11">
        <v>46265</v>
      </c>
      <c r="Q48" s="7" t="s">
        <v>386</v>
      </c>
      <c r="R48" s="7" t="s">
        <v>93</v>
      </c>
      <c r="S48" s="7" t="s">
        <v>387</v>
      </c>
      <c r="T48" s="1" t="s">
        <v>388</v>
      </c>
    </row>
    <row r="49" spans="1:20" ht="30" customHeight="1">
      <c r="A49" s="6">
        <v>47</v>
      </c>
      <c r="B49" s="7" t="s">
        <v>389</v>
      </c>
      <c r="C49" s="7" t="s">
        <v>390</v>
      </c>
      <c r="D49" s="7" t="s">
        <v>391</v>
      </c>
      <c r="E49" s="7" t="s">
        <v>86</v>
      </c>
      <c r="F49" s="7" t="s">
        <v>78</v>
      </c>
      <c r="G49" s="7" t="s">
        <v>87</v>
      </c>
      <c r="H49" s="7" t="s">
        <v>162</v>
      </c>
      <c r="I49" s="7" t="s">
        <v>90</v>
      </c>
      <c r="J49" s="6">
        <v>1997</v>
      </c>
      <c r="K49" s="7">
        <v>16000</v>
      </c>
      <c r="L49" s="8">
        <v>338.75</v>
      </c>
      <c r="M49" s="9">
        <v>0.33875</v>
      </c>
      <c r="N49" s="8">
        <v>46.88</v>
      </c>
      <c r="O49" s="10">
        <v>0.28149999999999997</v>
      </c>
      <c r="P49" s="11">
        <v>46265</v>
      </c>
      <c r="Q49" s="7" t="s">
        <v>392</v>
      </c>
      <c r="R49" s="7" t="s">
        <v>93</v>
      </c>
      <c r="S49" s="29" t="s">
        <v>94</v>
      </c>
      <c r="T49" s="1" t="s">
        <v>393</v>
      </c>
    </row>
    <row r="50" spans="1:20" ht="30" customHeight="1">
      <c r="A50" s="6">
        <v>48</v>
      </c>
      <c r="B50" s="7" t="s">
        <v>394</v>
      </c>
      <c r="C50" s="7" t="s">
        <v>395</v>
      </c>
      <c r="D50" s="7" t="s">
        <v>396</v>
      </c>
      <c r="E50" s="7" t="s">
        <v>86</v>
      </c>
      <c r="F50" s="7" t="s">
        <v>78</v>
      </c>
      <c r="G50" s="7" t="s">
        <v>65</v>
      </c>
      <c r="H50" s="7" t="s">
        <v>397</v>
      </c>
      <c r="I50" s="7" t="s">
        <v>191</v>
      </c>
      <c r="J50" s="6">
        <v>1837</v>
      </c>
      <c r="K50" s="7">
        <v>104000</v>
      </c>
      <c r="L50" s="8">
        <v>338.11</v>
      </c>
      <c r="M50" s="9">
        <v>0.33811000000000002</v>
      </c>
      <c r="N50" s="8">
        <v>86.71</v>
      </c>
      <c r="O50" s="10">
        <v>0.23920000000000002</v>
      </c>
      <c r="P50" s="11">
        <v>46265</v>
      </c>
      <c r="Q50" s="7" t="s">
        <v>398</v>
      </c>
      <c r="R50" s="7" t="s">
        <v>93</v>
      </c>
      <c r="S50" s="29" t="s">
        <v>94</v>
      </c>
      <c r="T50" s="1" t="s">
        <v>399</v>
      </c>
    </row>
    <row r="51" spans="1:20" ht="30" customHeight="1">
      <c r="A51" s="6">
        <v>49</v>
      </c>
      <c r="B51" s="7" t="s">
        <v>400</v>
      </c>
      <c r="C51" s="7" t="s">
        <v>401</v>
      </c>
      <c r="D51" s="7" t="s">
        <v>402</v>
      </c>
      <c r="E51" s="7" t="s">
        <v>86</v>
      </c>
      <c r="F51" s="7" t="s">
        <v>78</v>
      </c>
      <c r="G51" s="7" t="s">
        <v>82</v>
      </c>
      <c r="H51" s="7" t="s">
        <v>218</v>
      </c>
      <c r="I51" s="7" t="s">
        <v>191</v>
      </c>
      <c r="J51" s="6">
        <v>1935</v>
      </c>
      <c r="K51" s="7">
        <v>83000</v>
      </c>
      <c r="L51" s="8">
        <v>335.23</v>
      </c>
      <c r="M51" s="9">
        <v>0.33523000000000003</v>
      </c>
      <c r="N51" s="8">
        <v>68.77</v>
      </c>
      <c r="O51" s="10">
        <v>0.34049999999999997</v>
      </c>
      <c r="P51" s="11">
        <v>46265</v>
      </c>
      <c r="Q51" s="7" t="s">
        <v>403</v>
      </c>
      <c r="R51" s="7" t="s">
        <v>93</v>
      </c>
      <c r="S51" s="29" t="s">
        <v>94</v>
      </c>
      <c r="T51" s="1" t="s">
        <v>404</v>
      </c>
    </row>
    <row r="52" spans="1:20" ht="30" customHeight="1">
      <c r="A52" s="6">
        <v>50</v>
      </c>
      <c r="B52" s="7" t="s">
        <v>405</v>
      </c>
      <c r="C52" s="7" t="s">
        <v>406</v>
      </c>
      <c r="D52" s="7" t="s">
        <v>407</v>
      </c>
      <c r="E52" s="7" t="s">
        <v>86</v>
      </c>
      <c r="F52" s="7" t="s">
        <v>78</v>
      </c>
      <c r="G52" s="7" t="s">
        <v>65</v>
      </c>
      <c r="H52" s="7" t="s">
        <v>230</v>
      </c>
      <c r="I52" s="7" t="s">
        <v>191</v>
      </c>
      <c r="J52" s="6">
        <v>1978</v>
      </c>
      <c r="K52" s="7">
        <v>472400</v>
      </c>
      <c r="L52" s="8">
        <v>327.26</v>
      </c>
      <c r="M52" s="9">
        <v>0.32726</v>
      </c>
      <c r="N52" s="8">
        <v>166.59</v>
      </c>
      <c r="O52" s="10">
        <v>0.11289999999999999</v>
      </c>
      <c r="P52" s="11">
        <v>46265</v>
      </c>
      <c r="Q52" s="7" t="s">
        <v>408</v>
      </c>
      <c r="R52" s="7" t="s">
        <v>93</v>
      </c>
      <c r="S52" s="29" t="s">
        <v>94</v>
      </c>
      <c r="T52" s="1" t="s">
        <v>409</v>
      </c>
    </row>
    <row r="53" spans="1:20" ht="30" hidden="1" customHeight="1">
      <c r="A53" s="6">
        <v>51</v>
      </c>
      <c r="B53" s="7" t="s">
        <v>410</v>
      </c>
      <c r="C53" s="7" t="s">
        <v>411</v>
      </c>
      <c r="D53" s="7" t="s">
        <v>412</v>
      </c>
      <c r="E53" s="7" t="s">
        <v>114</v>
      </c>
      <c r="F53" s="7" t="s">
        <v>64</v>
      </c>
      <c r="G53" s="7" t="s">
        <v>82</v>
      </c>
      <c r="H53" s="7" t="s">
        <v>218</v>
      </c>
      <c r="I53" s="7" t="s">
        <v>313</v>
      </c>
      <c r="J53" s="6">
        <v>1912</v>
      </c>
      <c r="K53" s="7" t="s">
        <v>224</v>
      </c>
      <c r="L53" s="8">
        <v>312.18</v>
      </c>
      <c r="M53" s="9">
        <v>0.31218000000000001</v>
      </c>
      <c r="N53" s="8">
        <v>95.37</v>
      </c>
      <c r="O53" s="10">
        <v>0.45090000000000002</v>
      </c>
      <c r="P53" s="11">
        <v>46265</v>
      </c>
      <c r="Q53" s="7" t="s">
        <v>413</v>
      </c>
      <c r="R53" s="7" t="s">
        <v>93</v>
      </c>
      <c r="S53" s="7" t="s">
        <v>94</v>
      </c>
      <c r="T53" s="1" t="s">
        <v>414</v>
      </c>
    </row>
    <row r="54" spans="1:20" ht="30" customHeight="1">
      <c r="A54" s="6">
        <v>52</v>
      </c>
      <c r="B54" s="7" t="s">
        <v>415</v>
      </c>
      <c r="C54" s="7" t="s">
        <v>416</v>
      </c>
      <c r="D54" s="7" t="s">
        <v>417</v>
      </c>
      <c r="E54" s="7" t="s">
        <v>86</v>
      </c>
      <c r="F54" s="7" t="s">
        <v>78</v>
      </c>
      <c r="G54" s="7" t="s">
        <v>87</v>
      </c>
      <c r="H54" s="7" t="s">
        <v>100</v>
      </c>
      <c r="I54" s="7" t="s">
        <v>90</v>
      </c>
      <c r="J54" s="6">
        <v>2005</v>
      </c>
      <c r="K54" s="7">
        <v>16068</v>
      </c>
      <c r="L54" s="8">
        <v>310.83999999999997</v>
      </c>
      <c r="M54" s="9">
        <v>0.31083999999999995</v>
      </c>
      <c r="N54" s="8">
        <v>10.6</v>
      </c>
      <c r="O54" s="10">
        <v>0.13170000000000001</v>
      </c>
      <c r="P54" s="11">
        <v>46265</v>
      </c>
      <c r="Q54" s="7" t="s">
        <v>418</v>
      </c>
      <c r="R54" s="7" t="s">
        <v>93</v>
      </c>
      <c r="S54" s="29" t="s">
        <v>94</v>
      </c>
      <c r="T54" s="1" t="s">
        <v>419</v>
      </c>
    </row>
    <row r="55" spans="1:20" ht="30" customHeight="1">
      <c r="A55" s="6">
        <v>53</v>
      </c>
      <c r="B55" s="7" t="s">
        <v>420</v>
      </c>
      <c r="C55" s="7" t="s">
        <v>421</v>
      </c>
      <c r="D55" s="7" t="s">
        <v>422</v>
      </c>
      <c r="E55" s="7" t="s">
        <v>86</v>
      </c>
      <c r="F55" s="7" t="s">
        <v>78</v>
      </c>
      <c r="G55" s="7" t="s">
        <v>87</v>
      </c>
      <c r="H55" s="7" t="s">
        <v>140</v>
      </c>
      <c r="I55" s="7" t="s">
        <v>191</v>
      </c>
      <c r="J55" s="6">
        <v>1984</v>
      </c>
      <c r="K55" s="7">
        <v>97000</v>
      </c>
      <c r="L55" s="8">
        <v>300.17</v>
      </c>
      <c r="M55" s="9">
        <v>0.30016999999999999</v>
      </c>
      <c r="N55" s="8">
        <v>134</v>
      </c>
      <c r="O55" s="10">
        <v>8.7499999999999994E-2</v>
      </c>
      <c r="P55" s="11">
        <v>46265</v>
      </c>
      <c r="Q55" s="7" t="s">
        <v>423</v>
      </c>
      <c r="R55" s="7" t="s">
        <v>93</v>
      </c>
      <c r="S55" s="29" t="s">
        <v>94</v>
      </c>
      <c r="T55" s="1" t="s">
        <v>424</v>
      </c>
    </row>
    <row r="56" spans="1:20" ht="30" customHeight="1">
      <c r="A56" s="6">
        <v>54</v>
      </c>
      <c r="B56" s="7" t="s">
        <v>425</v>
      </c>
      <c r="C56" s="7" t="s">
        <v>426</v>
      </c>
      <c r="D56" s="7" t="s">
        <v>427</v>
      </c>
      <c r="E56" s="7" t="s">
        <v>86</v>
      </c>
      <c r="F56" s="7" t="s">
        <v>78</v>
      </c>
      <c r="G56" s="7" t="s">
        <v>82</v>
      </c>
      <c r="H56" s="7" t="s">
        <v>218</v>
      </c>
      <c r="I56" s="7" t="s">
        <v>191</v>
      </c>
      <c r="J56" s="6">
        <v>1869</v>
      </c>
      <c r="K56" s="7">
        <v>47400</v>
      </c>
      <c r="L56" s="8">
        <v>298.99</v>
      </c>
      <c r="M56" s="9">
        <v>0.29899000000000003</v>
      </c>
      <c r="N56" s="8">
        <v>60.44</v>
      </c>
      <c r="O56" s="10">
        <v>0.37530000000000002</v>
      </c>
      <c r="P56" s="11">
        <v>46265</v>
      </c>
      <c r="Q56" s="7" t="s">
        <v>428</v>
      </c>
      <c r="R56" s="7" t="s">
        <v>93</v>
      </c>
      <c r="S56" s="29" t="s">
        <v>94</v>
      </c>
      <c r="T56" s="1" t="s">
        <v>429</v>
      </c>
    </row>
    <row r="57" spans="1:20" ht="30" customHeight="1">
      <c r="A57" s="6">
        <v>55</v>
      </c>
      <c r="B57" s="7" t="s">
        <v>430</v>
      </c>
      <c r="C57" s="7" t="s">
        <v>431</v>
      </c>
      <c r="D57" s="7" t="s">
        <v>432</v>
      </c>
      <c r="E57" s="7" t="s">
        <v>86</v>
      </c>
      <c r="F57" s="7" t="s">
        <v>78</v>
      </c>
      <c r="G57" s="7" t="s">
        <v>67</v>
      </c>
      <c r="H57" s="7" t="s">
        <v>433</v>
      </c>
      <c r="I57" s="7" t="s">
        <v>191</v>
      </c>
      <c r="J57" s="6">
        <v>2008</v>
      </c>
      <c r="K57" s="7">
        <v>84900</v>
      </c>
      <c r="L57" s="8">
        <v>293.05</v>
      </c>
      <c r="M57" s="9">
        <v>0.29305000000000003</v>
      </c>
      <c r="N57" s="8">
        <v>41.49</v>
      </c>
      <c r="O57" s="10">
        <v>0.34139999999999998</v>
      </c>
      <c r="P57" s="11">
        <v>46265</v>
      </c>
      <c r="Q57" s="7" t="s">
        <v>434</v>
      </c>
      <c r="R57" s="7" t="s">
        <v>93</v>
      </c>
      <c r="S57" s="29" t="s">
        <v>94</v>
      </c>
      <c r="T57" s="1" t="s">
        <v>435</v>
      </c>
    </row>
    <row r="58" spans="1:20" ht="30" hidden="1" customHeight="1">
      <c r="A58" s="6">
        <v>56</v>
      </c>
      <c r="B58" s="7" t="s">
        <v>436</v>
      </c>
      <c r="C58" s="7" t="s">
        <v>437</v>
      </c>
      <c r="D58" s="7" t="s">
        <v>438</v>
      </c>
      <c r="E58" s="7" t="s">
        <v>142</v>
      </c>
      <c r="F58" s="7" t="s">
        <v>66</v>
      </c>
      <c r="G58" s="7" t="s">
        <v>87</v>
      </c>
      <c r="H58" s="7" t="s">
        <v>203</v>
      </c>
      <c r="I58" s="7" t="s">
        <v>439</v>
      </c>
      <c r="J58" s="6">
        <v>1996</v>
      </c>
      <c r="K58" s="7">
        <v>75267</v>
      </c>
      <c r="L58" s="8">
        <v>289.38</v>
      </c>
      <c r="M58" s="9">
        <v>0.28937999999999997</v>
      </c>
      <c r="N58" s="8">
        <v>56.57</v>
      </c>
      <c r="O58" s="10">
        <v>0.27889999999999998</v>
      </c>
      <c r="P58" s="11">
        <v>46265</v>
      </c>
      <c r="Q58" s="7" t="s">
        <v>440</v>
      </c>
      <c r="R58" s="7" t="s">
        <v>93</v>
      </c>
      <c r="S58" s="7" t="s">
        <v>94</v>
      </c>
      <c r="T58" s="1" t="s">
        <v>441</v>
      </c>
    </row>
    <row r="59" spans="1:20" ht="30" hidden="1" customHeight="1">
      <c r="A59" s="6">
        <v>57</v>
      </c>
      <c r="B59" s="7" t="s">
        <v>442</v>
      </c>
      <c r="C59" s="7" t="s">
        <v>443</v>
      </c>
      <c r="D59" s="7" t="s">
        <v>444</v>
      </c>
      <c r="E59" s="7" t="s">
        <v>114</v>
      </c>
      <c r="F59" s="7" t="s">
        <v>64</v>
      </c>
      <c r="G59" s="7" t="s">
        <v>87</v>
      </c>
      <c r="H59" s="7" t="s">
        <v>122</v>
      </c>
      <c r="I59" s="7" t="s">
        <v>445</v>
      </c>
      <c r="J59" s="6">
        <v>1999</v>
      </c>
      <c r="K59" s="7">
        <v>131462</v>
      </c>
      <c r="L59" s="8">
        <v>283.60000000000002</v>
      </c>
      <c r="M59" s="9">
        <v>0.28360000000000002</v>
      </c>
      <c r="N59" s="8">
        <v>145.38999999999999</v>
      </c>
      <c r="O59" s="10">
        <v>0.1356</v>
      </c>
      <c r="P59" s="11">
        <v>46265</v>
      </c>
      <c r="Q59" s="7" t="s">
        <v>446</v>
      </c>
      <c r="R59" s="7" t="s">
        <v>93</v>
      </c>
      <c r="S59" s="7" t="s">
        <v>94</v>
      </c>
      <c r="T59" s="1" t="s">
        <v>447</v>
      </c>
    </row>
    <row r="60" spans="1:20" ht="30" hidden="1" customHeight="1">
      <c r="A60" s="6">
        <v>58</v>
      </c>
      <c r="B60" s="7" t="s">
        <v>448</v>
      </c>
      <c r="C60" s="7" t="s">
        <v>449</v>
      </c>
      <c r="D60" s="7" t="s">
        <v>450</v>
      </c>
      <c r="E60" s="7" t="s">
        <v>109</v>
      </c>
      <c r="F60" s="7" t="s">
        <v>78</v>
      </c>
      <c r="G60" s="7" t="s">
        <v>82</v>
      </c>
      <c r="H60" s="7" t="s">
        <v>218</v>
      </c>
      <c r="I60" s="7" t="s">
        <v>451</v>
      </c>
      <c r="J60" s="6">
        <v>1864</v>
      </c>
      <c r="K60" s="7">
        <v>91427</v>
      </c>
      <c r="L60" s="8">
        <v>282.16000000000003</v>
      </c>
      <c r="M60" s="9">
        <v>0.28216000000000002</v>
      </c>
      <c r="N60" s="8">
        <v>50.53</v>
      </c>
      <c r="O60" s="10">
        <v>0.40590000000000004</v>
      </c>
      <c r="P60" s="11">
        <v>46265</v>
      </c>
      <c r="Q60" s="7" t="s">
        <v>452</v>
      </c>
      <c r="R60" s="7" t="s">
        <v>93</v>
      </c>
      <c r="S60" s="7" t="s">
        <v>94</v>
      </c>
      <c r="T60" s="1" t="s">
        <v>453</v>
      </c>
    </row>
    <row r="61" spans="1:20" ht="30" customHeight="1">
      <c r="A61" s="6">
        <v>59</v>
      </c>
      <c r="B61" s="7" t="s">
        <v>454</v>
      </c>
      <c r="C61" s="7" t="s">
        <v>455</v>
      </c>
      <c r="D61" s="7" t="s">
        <v>455</v>
      </c>
      <c r="E61" s="7" t="s">
        <v>86</v>
      </c>
      <c r="F61" s="7" t="s">
        <v>78</v>
      </c>
      <c r="G61" s="7" t="s">
        <v>88</v>
      </c>
      <c r="H61" s="7" t="s">
        <v>378</v>
      </c>
      <c r="I61" s="7" t="s">
        <v>191</v>
      </c>
      <c r="J61" s="6">
        <v>2020</v>
      </c>
      <c r="K61" s="7">
        <v>180000</v>
      </c>
      <c r="L61" s="8">
        <v>281.39999999999998</v>
      </c>
      <c r="M61" s="9">
        <v>0.28139999999999998</v>
      </c>
      <c r="N61" s="8">
        <v>90.37</v>
      </c>
      <c r="O61" s="10">
        <v>9.849999999999999E-2</v>
      </c>
      <c r="P61" s="11">
        <v>46265</v>
      </c>
      <c r="Q61" s="7" t="s">
        <v>456</v>
      </c>
      <c r="R61" s="7" t="s">
        <v>93</v>
      </c>
      <c r="S61" s="29" t="s">
        <v>94</v>
      </c>
      <c r="T61" s="1" t="s">
        <v>457</v>
      </c>
    </row>
    <row r="62" spans="1:20" ht="30" customHeight="1">
      <c r="A62" s="6">
        <v>60</v>
      </c>
      <c r="B62" s="7" t="s">
        <v>458</v>
      </c>
      <c r="C62" s="7" t="s">
        <v>459</v>
      </c>
      <c r="D62" s="7" t="s">
        <v>460</v>
      </c>
      <c r="E62" s="7" t="s">
        <v>86</v>
      </c>
      <c r="F62" s="7" t="s">
        <v>78</v>
      </c>
      <c r="G62" s="7" t="s">
        <v>82</v>
      </c>
      <c r="H62" s="7" t="s">
        <v>218</v>
      </c>
      <c r="I62" s="7" t="s">
        <v>191</v>
      </c>
      <c r="J62" s="6">
        <v>1852</v>
      </c>
      <c r="K62" s="7">
        <v>205000</v>
      </c>
      <c r="L62" s="8">
        <v>262.24</v>
      </c>
      <c r="M62" s="9">
        <v>0.26224000000000003</v>
      </c>
      <c r="N62" s="8">
        <v>84.74</v>
      </c>
      <c r="O62" s="10">
        <v>0.30499999999999999</v>
      </c>
      <c r="P62" s="11">
        <v>46265</v>
      </c>
      <c r="Q62" s="7" t="s">
        <v>461</v>
      </c>
      <c r="R62" s="7" t="s">
        <v>93</v>
      </c>
      <c r="S62" s="29" t="s">
        <v>94</v>
      </c>
      <c r="T62" s="1" t="s">
        <v>462</v>
      </c>
    </row>
    <row r="63" spans="1:20" ht="30" hidden="1" customHeight="1">
      <c r="A63" s="6">
        <v>61</v>
      </c>
      <c r="B63" s="7" t="s">
        <v>463</v>
      </c>
      <c r="C63" s="7" t="s">
        <v>464</v>
      </c>
      <c r="D63" s="7" t="s">
        <v>465</v>
      </c>
      <c r="E63" s="7" t="s">
        <v>121</v>
      </c>
      <c r="F63" s="7" t="s">
        <v>66</v>
      </c>
      <c r="G63" s="7" t="s">
        <v>65</v>
      </c>
      <c r="H63" s="7" t="s">
        <v>466</v>
      </c>
      <c r="I63" s="7" t="s">
        <v>467</v>
      </c>
      <c r="J63" s="6">
        <v>1987</v>
      </c>
      <c r="K63" s="7">
        <v>211000</v>
      </c>
      <c r="L63" s="8">
        <v>259.62</v>
      </c>
      <c r="M63" s="9">
        <v>0.25962000000000002</v>
      </c>
      <c r="N63" s="8">
        <v>93.86</v>
      </c>
      <c r="O63" s="10">
        <v>0.20660000000000001</v>
      </c>
      <c r="P63" s="11">
        <v>46265</v>
      </c>
      <c r="Q63" s="7" t="s">
        <v>468</v>
      </c>
      <c r="R63" s="7" t="s">
        <v>93</v>
      </c>
      <c r="S63" s="7" t="s">
        <v>94</v>
      </c>
      <c r="T63" s="1" t="s">
        <v>469</v>
      </c>
    </row>
    <row r="64" spans="1:20" ht="30" hidden="1" customHeight="1">
      <c r="A64" s="6">
        <v>62</v>
      </c>
      <c r="B64" s="7" t="s">
        <v>470</v>
      </c>
      <c r="C64" s="7" t="s">
        <v>471</v>
      </c>
      <c r="D64" s="7" t="s">
        <v>472</v>
      </c>
      <c r="E64" s="7" t="s">
        <v>123</v>
      </c>
      <c r="F64" s="7" t="s">
        <v>66</v>
      </c>
      <c r="G64" s="7" t="s">
        <v>88</v>
      </c>
      <c r="H64" s="7" t="s">
        <v>473</v>
      </c>
      <c r="I64" s="7" t="s">
        <v>474</v>
      </c>
      <c r="J64" s="6">
        <v>1847</v>
      </c>
      <c r="K64" s="7">
        <v>318000</v>
      </c>
      <c r="L64" s="8">
        <v>258.89999999999998</v>
      </c>
      <c r="M64" s="9">
        <v>0.25889999999999996</v>
      </c>
      <c r="N64" s="8">
        <v>93.33</v>
      </c>
      <c r="O64" s="10">
        <v>0.1389</v>
      </c>
      <c r="P64" s="11">
        <v>46265</v>
      </c>
      <c r="Q64" s="7" t="s">
        <v>475</v>
      </c>
      <c r="R64" s="7" t="s">
        <v>93</v>
      </c>
      <c r="S64" s="7" t="s">
        <v>94</v>
      </c>
      <c r="T64" s="1" t="s">
        <v>476</v>
      </c>
    </row>
    <row r="65" spans="1:20" ht="30" hidden="1" customHeight="1">
      <c r="A65" s="6">
        <v>63</v>
      </c>
      <c r="B65" s="7" t="s">
        <v>477</v>
      </c>
      <c r="C65" s="7" t="s">
        <v>478</v>
      </c>
      <c r="D65" s="7" t="s">
        <v>479</v>
      </c>
      <c r="E65" s="7" t="s">
        <v>149</v>
      </c>
      <c r="F65" s="7" t="s">
        <v>66</v>
      </c>
      <c r="G65" s="7" t="s">
        <v>87</v>
      </c>
      <c r="H65" s="7" t="s">
        <v>89</v>
      </c>
      <c r="I65" s="7" t="s">
        <v>90</v>
      </c>
      <c r="J65" s="6">
        <v>1990</v>
      </c>
      <c r="K65" s="7">
        <v>9584</v>
      </c>
      <c r="L65" s="8">
        <v>257.83</v>
      </c>
      <c r="M65" s="9">
        <v>0.25783</v>
      </c>
      <c r="N65" s="8">
        <v>4.92</v>
      </c>
      <c r="O65" s="10">
        <v>0.1845</v>
      </c>
      <c r="P65" s="11">
        <v>46265</v>
      </c>
      <c r="Q65" s="7" t="s">
        <v>480</v>
      </c>
      <c r="R65" s="7" t="s">
        <v>93</v>
      </c>
      <c r="S65" s="7" t="s">
        <v>94</v>
      </c>
      <c r="T65" s="1" t="s">
        <v>481</v>
      </c>
    </row>
    <row r="66" spans="1:20" ht="30" hidden="1" customHeight="1">
      <c r="A66" s="6">
        <v>64</v>
      </c>
      <c r="B66" s="7" t="s">
        <v>482</v>
      </c>
      <c r="C66" s="7" t="s">
        <v>483</v>
      </c>
      <c r="D66" s="7" t="s">
        <v>483</v>
      </c>
      <c r="E66" s="7" t="s">
        <v>123</v>
      </c>
      <c r="F66" s="7" t="s">
        <v>66</v>
      </c>
      <c r="G66" s="7" t="s">
        <v>87</v>
      </c>
      <c r="H66" s="7" t="s">
        <v>100</v>
      </c>
      <c r="I66" s="7" t="s">
        <v>484</v>
      </c>
      <c r="J66" s="6">
        <v>1972</v>
      </c>
      <c r="K66" s="7">
        <v>111397</v>
      </c>
      <c r="L66" s="8">
        <v>256.11</v>
      </c>
      <c r="M66" s="9">
        <v>0.25611</v>
      </c>
      <c r="N66" s="8">
        <v>43.72</v>
      </c>
      <c r="O66" s="10">
        <v>0.2959</v>
      </c>
      <c r="P66" s="11">
        <v>46265</v>
      </c>
      <c r="Q66" s="7" t="s">
        <v>485</v>
      </c>
      <c r="R66" s="7" t="s">
        <v>93</v>
      </c>
      <c r="S66" s="7" t="s">
        <v>94</v>
      </c>
      <c r="T66" s="1" t="s">
        <v>486</v>
      </c>
    </row>
    <row r="67" spans="1:20" ht="30" hidden="1" customHeight="1">
      <c r="A67" s="6">
        <v>65</v>
      </c>
      <c r="B67" s="7" t="s">
        <v>487</v>
      </c>
      <c r="C67" s="7" t="s">
        <v>488</v>
      </c>
      <c r="D67" s="7" t="s">
        <v>489</v>
      </c>
      <c r="E67" s="7" t="s">
        <v>126</v>
      </c>
      <c r="F67" s="7" t="s">
        <v>64</v>
      </c>
      <c r="G67" s="7" t="s">
        <v>82</v>
      </c>
      <c r="H67" s="7" t="s">
        <v>218</v>
      </c>
      <c r="I67" s="7" t="s">
        <v>490</v>
      </c>
      <c r="J67" s="6">
        <v>2005</v>
      </c>
      <c r="K67" s="7">
        <v>156000</v>
      </c>
      <c r="L67" s="8">
        <v>255.87</v>
      </c>
      <c r="M67" s="9">
        <v>0.25586999999999999</v>
      </c>
      <c r="N67" s="8">
        <v>49.47</v>
      </c>
      <c r="O67" s="10">
        <v>0.44369999999999998</v>
      </c>
      <c r="P67" s="11">
        <v>46265</v>
      </c>
      <c r="Q67" s="7" t="s">
        <v>491</v>
      </c>
      <c r="R67" s="7" t="s">
        <v>93</v>
      </c>
      <c r="S67" s="7" t="s">
        <v>94</v>
      </c>
      <c r="T67" s="1" t="s">
        <v>492</v>
      </c>
    </row>
    <row r="68" spans="1:20" ht="30" hidden="1" customHeight="1">
      <c r="A68" s="6">
        <v>66</v>
      </c>
      <c r="B68" s="7" t="s">
        <v>493</v>
      </c>
      <c r="C68" s="7" t="s">
        <v>494</v>
      </c>
      <c r="D68" s="7" t="s">
        <v>495</v>
      </c>
      <c r="E68" s="7" t="s">
        <v>149</v>
      </c>
      <c r="F68" s="7" t="s">
        <v>66</v>
      </c>
      <c r="G68" s="7" t="s">
        <v>87</v>
      </c>
      <c r="H68" s="7" t="s">
        <v>203</v>
      </c>
      <c r="I68" s="7" t="s">
        <v>496</v>
      </c>
      <c r="J68" s="6">
        <v>1999</v>
      </c>
      <c r="K68" s="7">
        <v>95100</v>
      </c>
      <c r="L68" s="8">
        <v>251.72</v>
      </c>
      <c r="M68" s="9">
        <v>0.25172</v>
      </c>
      <c r="N68" s="8">
        <v>60.43</v>
      </c>
      <c r="O68" s="10">
        <v>0.21109999999999998</v>
      </c>
      <c r="P68" s="11">
        <v>46265</v>
      </c>
      <c r="Q68" s="7" t="s">
        <v>497</v>
      </c>
      <c r="R68" s="7" t="s">
        <v>93</v>
      </c>
      <c r="S68" s="7" t="s">
        <v>94</v>
      </c>
      <c r="T68" s="1" t="s">
        <v>498</v>
      </c>
    </row>
    <row r="69" spans="1:20" ht="30" hidden="1" customHeight="1">
      <c r="A69" s="6">
        <v>67</v>
      </c>
      <c r="B69" s="7" t="s">
        <v>499</v>
      </c>
      <c r="C69" s="7" t="s">
        <v>500</v>
      </c>
      <c r="D69" s="7" t="s">
        <v>501</v>
      </c>
      <c r="E69" s="7" t="s">
        <v>149</v>
      </c>
      <c r="F69" s="7" t="s">
        <v>66</v>
      </c>
      <c r="G69" s="7" t="s">
        <v>74</v>
      </c>
      <c r="H69" s="7" t="s">
        <v>155</v>
      </c>
      <c r="I69" s="7" t="s">
        <v>366</v>
      </c>
      <c r="J69" s="6">
        <v>1907</v>
      </c>
      <c r="K69" s="7">
        <v>85000</v>
      </c>
      <c r="L69" s="8">
        <v>251.71</v>
      </c>
      <c r="M69" s="9">
        <v>0.25170999999999999</v>
      </c>
      <c r="N69" s="8">
        <v>267.33999999999997</v>
      </c>
      <c r="O69" s="10">
        <v>0.11259999999999999</v>
      </c>
      <c r="P69" s="11">
        <v>46265</v>
      </c>
      <c r="Q69" s="7" t="s">
        <v>502</v>
      </c>
      <c r="R69" s="7" t="s">
        <v>93</v>
      </c>
      <c r="S69" s="7" t="s">
        <v>94</v>
      </c>
      <c r="T69" s="1" t="s">
        <v>503</v>
      </c>
    </row>
    <row r="70" spans="1:20" ht="30" hidden="1" customHeight="1">
      <c r="A70" s="6">
        <v>68</v>
      </c>
      <c r="B70" s="7" t="s">
        <v>504</v>
      </c>
      <c r="C70" s="7" t="s">
        <v>505</v>
      </c>
      <c r="D70" s="7" t="s">
        <v>506</v>
      </c>
      <c r="E70" s="7" t="s">
        <v>142</v>
      </c>
      <c r="F70" s="7" t="s">
        <v>66</v>
      </c>
      <c r="G70" s="7" t="s">
        <v>67</v>
      </c>
      <c r="H70" s="7" t="s">
        <v>507</v>
      </c>
      <c r="I70" s="7" t="s">
        <v>361</v>
      </c>
      <c r="J70" s="6">
        <v>1866</v>
      </c>
      <c r="K70" s="7">
        <v>271000</v>
      </c>
      <c r="L70" s="8">
        <v>250.88</v>
      </c>
      <c r="M70" s="9">
        <v>0.25087999999999999</v>
      </c>
      <c r="N70" s="8">
        <v>110.73</v>
      </c>
      <c r="O70" s="10">
        <v>0.11960000000000001</v>
      </c>
      <c r="P70" s="11">
        <v>46265</v>
      </c>
      <c r="Q70" s="7" t="s">
        <v>508</v>
      </c>
      <c r="R70" s="7" t="s">
        <v>93</v>
      </c>
      <c r="S70" s="7" t="s">
        <v>94</v>
      </c>
      <c r="T70" s="1" t="s">
        <v>509</v>
      </c>
    </row>
    <row r="71" spans="1:20" ht="30" hidden="1" customHeight="1">
      <c r="A71" s="6">
        <v>69</v>
      </c>
      <c r="B71" s="7" t="s">
        <v>510</v>
      </c>
      <c r="C71" s="7" t="s">
        <v>511</v>
      </c>
      <c r="D71" s="7" t="s">
        <v>512</v>
      </c>
      <c r="E71" s="7" t="s">
        <v>114</v>
      </c>
      <c r="F71" s="7" t="s">
        <v>64</v>
      </c>
      <c r="G71" s="7" t="s">
        <v>101</v>
      </c>
      <c r="H71" s="7" t="s">
        <v>513</v>
      </c>
      <c r="I71" s="7" t="s">
        <v>514</v>
      </c>
      <c r="J71" s="6">
        <v>2011</v>
      </c>
      <c r="K71" s="7" t="s">
        <v>224</v>
      </c>
      <c r="L71" s="8">
        <v>250.33</v>
      </c>
      <c r="M71" s="9">
        <v>0.25033</v>
      </c>
      <c r="N71" s="8">
        <v>63.65</v>
      </c>
      <c r="O71" s="10">
        <v>0.21640000000000001</v>
      </c>
      <c r="P71" s="11">
        <v>46265</v>
      </c>
      <c r="Q71" s="7" t="s">
        <v>515</v>
      </c>
      <c r="R71" s="7" t="s">
        <v>93</v>
      </c>
      <c r="S71" s="7" t="s">
        <v>94</v>
      </c>
      <c r="T71" s="1" t="s">
        <v>516</v>
      </c>
    </row>
    <row r="72" spans="1:20" ht="30" customHeight="1">
      <c r="A72" s="6">
        <v>70</v>
      </c>
      <c r="B72" s="7" t="s">
        <v>517</v>
      </c>
      <c r="C72" s="7" t="s">
        <v>518</v>
      </c>
      <c r="D72" s="7" t="s">
        <v>519</v>
      </c>
      <c r="E72" s="7" t="s">
        <v>86</v>
      </c>
      <c r="F72" s="7" t="s">
        <v>78</v>
      </c>
      <c r="G72" s="7" t="s">
        <v>87</v>
      </c>
      <c r="H72" s="7" t="s">
        <v>140</v>
      </c>
      <c r="I72" s="7" t="s">
        <v>191</v>
      </c>
      <c r="J72" s="6">
        <v>2004</v>
      </c>
      <c r="K72" s="7">
        <v>5115</v>
      </c>
      <c r="L72" s="8">
        <v>247.84</v>
      </c>
      <c r="M72" s="9">
        <v>0.24784</v>
      </c>
      <c r="N72" s="8">
        <v>9.6999999999999993</v>
      </c>
      <c r="O72" s="10">
        <v>0.47020000000000001</v>
      </c>
      <c r="P72" s="11">
        <v>46265</v>
      </c>
      <c r="Q72" s="7" t="s">
        <v>520</v>
      </c>
      <c r="R72" s="7" t="s">
        <v>93</v>
      </c>
      <c r="S72" s="29" t="s">
        <v>94</v>
      </c>
      <c r="T72" s="1" t="s">
        <v>521</v>
      </c>
    </row>
    <row r="73" spans="1:20" ht="30" hidden="1" customHeight="1">
      <c r="A73" s="6">
        <v>71</v>
      </c>
      <c r="B73" s="7" t="s">
        <v>522</v>
      </c>
      <c r="C73" s="7" t="s">
        <v>523</v>
      </c>
      <c r="D73" s="7" t="s">
        <v>524</v>
      </c>
      <c r="E73" s="7" t="s">
        <v>114</v>
      </c>
      <c r="F73" s="7" t="s">
        <v>64</v>
      </c>
      <c r="G73" s="7" t="s">
        <v>67</v>
      </c>
      <c r="H73" s="7" t="s">
        <v>525</v>
      </c>
      <c r="I73" s="7" t="s">
        <v>264</v>
      </c>
      <c r="J73" s="6">
        <v>1999</v>
      </c>
      <c r="K73" s="7" t="s">
        <v>224</v>
      </c>
      <c r="L73" s="8">
        <v>242.18</v>
      </c>
      <c r="M73" s="9">
        <v>0.24218000000000001</v>
      </c>
      <c r="N73" s="8">
        <v>26.44</v>
      </c>
      <c r="O73" s="10">
        <v>0.6724</v>
      </c>
      <c r="P73" s="11">
        <v>46265</v>
      </c>
      <c r="Q73" s="7" t="s">
        <v>526</v>
      </c>
      <c r="R73" s="7" t="s">
        <v>93</v>
      </c>
      <c r="S73" s="7" t="s">
        <v>94</v>
      </c>
      <c r="T73" s="1" t="s">
        <v>527</v>
      </c>
    </row>
    <row r="74" spans="1:20" ht="30" hidden="1" customHeight="1">
      <c r="A74" s="6">
        <v>72</v>
      </c>
      <c r="B74" s="7" t="s">
        <v>528</v>
      </c>
      <c r="C74" s="7" t="s">
        <v>529</v>
      </c>
      <c r="D74" s="7" t="s">
        <v>530</v>
      </c>
      <c r="E74" s="7" t="s">
        <v>107</v>
      </c>
      <c r="F74" s="7" t="s">
        <v>64</v>
      </c>
      <c r="G74" s="7" t="s">
        <v>91</v>
      </c>
      <c r="H74" s="7" t="s">
        <v>531</v>
      </c>
      <c r="I74" s="7" t="s">
        <v>532</v>
      </c>
      <c r="J74" s="6">
        <v>1885</v>
      </c>
      <c r="K74" s="7" t="s">
        <v>533</v>
      </c>
      <c r="L74" s="8">
        <v>238.54</v>
      </c>
      <c r="M74" s="9">
        <v>0.23854</v>
      </c>
      <c r="N74" s="8">
        <v>58.76</v>
      </c>
      <c r="O74" s="10">
        <v>0.39450000000000002</v>
      </c>
      <c r="P74" s="11">
        <v>46265</v>
      </c>
      <c r="Q74" s="7" t="s">
        <v>534</v>
      </c>
      <c r="R74" s="7" t="s">
        <v>93</v>
      </c>
      <c r="S74" s="7" t="s">
        <v>94</v>
      </c>
      <c r="T74" s="1" t="s">
        <v>535</v>
      </c>
    </row>
    <row r="75" spans="1:20" ht="30" customHeight="1">
      <c r="A75" s="6">
        <v>73</v>
      </c>
      <c r="B75" s="7" t="s">
        <v>536</v>
      </c>
      <c r="C75" s="7" t="s">
        <v>537</v>
      </c>
      <c r="D75" s="7" t="s">
        <v>538</v>
      </c>
      <c r="E75" s="7" t="s">
        <v>86</v>
      </c>
      <c r="F75" s="7" t="s">
        <v>78</v>
      </c>
      <c r="G75" s="7" t="s">
        <v>87</v>
      </c>
      <c r="H75" s="7" t="s">
        <v>89</v>
      </c>
      <c r="I75" s="7" t="s">
        <v>90</v>
      </c>
      <c r="J75" s="6">
        <v>1930</v>
      </c>
      <c r="K75" s="7">
        <v>33000</v>
      </c>
      <c r="L75" s="8">
        <v>238.28</v>
      </c>
      <c r="M75" s="9">
        <v>0.23827999999999999</v>
      </c>
      <c r="N75" s="8">
        <v>18.43</v>
      </c>
      <c r="O75" s="10">
        <v>0.32289999999999996</v>
      </c>
      <c r="P75" s="11">
        <v>46265</v>
      </c>
      <c r="Q75" s="7" t="s">
        <v>539</v>
      </c>
      <c r="R75" s="7" t="s">
        <v>93</v>
      </c>
      <c r="S75" s="29" t="s">
        <v>94</v>
      </c>
      <c r="T75" s="1" t="s">
        <v>540</v>
      </c>
    </row>
    <row r="76" spans="1:20" ht="30" hidden="1" customHeight="1">
      <c r="A76" s="6">
        <v>74</v>
      </c>
      <c r="B76" s="7" t="s">
        <v>541</v>
      </c>
      <c r="C76" s="7" t="s">
        <v>542</v>
      </c>
      <c r="D76" s="7" t="s">
        <v>543</v>
      </c>
      <c r="E76" s="7" t="s">
        <v>121</v>
      </c>
      <c r="F76" s="7" t="s">
        <v>66</v>
      </c>
      <c r="G76" s="7" t="s">
        <v>65</v>
      </c>
      <c r="H76" s="7" t="s">
        <v>397</v>
      </c>
      <c r="I76" s="7" t="s">
        <v>467</v>
      </c>
      <c r="J76" s="6">
        <v>1909</v>
      </c>
      <c r="K76" s="7">
        <v>94610</v>
      </c>
      <c r="L76" s="8">
        <v>238.07</v>
      </c>
      <c r="M76" s="9">
        <v>0.23807</v>
      </c>
      <c r="N76" s="8">
        <v>51.17</v>
      </c>
      <c r="O76" s="10">
        <v>0.193</v>
      </c>
      <c r="P76" s="11">
        <v>46265</v>
      </c>
      <c r="Q76" s="7" t="s">
        <v>544</v>
      </c>
      <c r="R76" s="7" t="s">
        <v>93</v>
      </c>
      <c r="S76" s="7" t="s">
        <v>94</v>
      </c>
      <c r="T76" s="1" t="s">
        <v>545</v>
      </c>
    </row>
    <row r="77" spans="1:20" ht="30" hidden="1" customHeight="1">
      <c r="A77" s="6">
        <v>75</v>
      </c>
      <c r="B77" s="7" t="s">
        <v>546</v>
      </c>
      <c r="C77" s="7" t="s">
        <v>547</v>
      </c>
      <c r="D77" s="7" t="s">
        <v>548</v>
      </c>
      <c r="E77" s="7" t="s">
        <v>114</v>
      </c>
      <c r="F77" s="7" t="s">
        <v>64</v>
      </c>
      <c r="G77" s="7" t="s">
        <v>74</v>
      </c>
      <c r="H77" s="7" t="s">
        <v>155</v>
      </c>
      <c r="I77" s="7" t="s">
        <v>384</v>
      </c>
      <c r="J77" s="6">
        <v>1999</v>
      </c>
      <c r="K77" s="7" t="s">
        <v>224</v>
      </c>
      <c r="L77" s="8">
        <v>237.45</v>
      </c>
      <c r="M77" s="9">
        <v>0.23744999999999999</v>
      </c>
      <c r="N77" s="8">
        <v>407.25</v>
      </c>
      <c r="O77" s="10" t="s">
        <v>385</v>
      </c>
      <c r="P77" s="11">
        <v>46265</v>
      </c>
      <c r="Q77" s="7" t="s">
        <v>549</v>
      </c>
      <c r="R77" s="7" t="s">
        <v>93</v>
      </c>
      <c r="S77" s="7" t="s">
        <v>387</v>
      </c>
      <c r="T77" s="1" t="s">
        <v>550</v>
      </c>
    </row>
    <row r="78" spans="1:20" ht="30" customHeight="1">
      <c r="A78" s="6">
        <v>76</v>
      </c>
      <c r="B78" s="7" t="s">
        <v>551</v>
      </c>
      <c r="C78" s="7" t="s">
        <v>552</v>
      </c>
      <c r="D78" s="7" t="s">
        <v>553</v>
      </c>
      <c r="E78" s="7" t="s">
        <v>86</v>
      </c>
      <c r="F78" s="7" t="s">
        <v>78</v>
      </c>
      <c r="G78" s="7" t="s">
        <v>74</v>
      </c>
      <c r="H78" s="7" t="s">
        <v>513</v>
      </c>
      <c r="I78" s="7" t="s">
        <v>191</v>
      </c>
      <c r="J78" s="6">
        <v>2024</v>
      </c>
      <c r="K78" s="7">
        <v>78000</v>
      </c>
      <c r="L78" s="8">
        <v>237.35</v>
      </c>
      <c r="M78" s="9">
        <v>0.23735000000000001</v>
      </c>
      <c r="N78" s="8">
        <v>39.369999999999997</v>
      </c>
      <c r="O78" s="10">
        <v>0.19289999999999999</v>
      </c>
      <c r="P78" s="11">
        <v>46265</v>
      </c>
      <c r="Q78" s="7" t="s">
        <v>554</v>
      </c>
      <c r="R78" s="7" t="s">
        <v>93</v>
      </c>
      <c r="S78" s="29" t="s">
        <v>94</v>
      </c>
      <c r="T78" s="1" t="s">
        <v>555</v>
      </c>
    </row>
    <row r="79" spans="1:20" ht="30" customHeight="1">
      <c r="A79" s="6">
        <v>77</v>
      </c>
      <c r="B79" s="7" t="s">
        <v>556</v>
      </c>
      <c r="C79" s="7" t="s">
        <v>557</v>
      </c>
      <c r="D79" s="7" t="s">
        <v>558</v>
      </c>
      <c r="E79" s="7" t="s">
        <v>86</v>
      </c>
      <c r="F79" s="7" t="s">
        <v>78</v>
      </c>
      <c r="G79" s="7" t="s">
        <v>87</v>
      </c>
      <c r="H79" s="7" t="s">
        <v>100</v>
      </c>
      <c r="I79" s="7" t="s">
        <v>90</v>
      </c>
      <c r="J79" s="6">
        <v>2011</v>
      </c>
      <c r="K79" s="7">
        <v>10698</v>
      </c>
      <c r="L79" s="8">
        <v>236.01</v>
      </c>
      <c r="M79" s="9">
        <v>0.23601</v>
      </c>
      <c r="N79" s="8">
        <v>5.09</v>
      </c>
      <c r="O79" s="10">
        <v>2.9999999999999997E-4</v>
      </c>
      <c r="P79" s="11">
        <v>46265</v>
      </c>
      <c r="Q79" s="7" t="s">
        <v>559</v>
      </c>
      <c r="R79" s="7" t="s">
        <v>93</v>
      </c>
      <c r="S79" s="29" t="s">
        <v>94</v>
      </c>
      <c r="T79" s="1" t="s">
        <v>560</v>
      </c>
    </row>
    <row r="80" spans="1:20" ht="30" hidden="1" customHeight="1">
      <c r="A80" s="6">
        <v>78</v>
      </c>
      <c r="B80" s="7" t="s">
        <v>561</v>
      </c>
      <c r="C80" s="7" t="s">
        <v>562</v>
      </c>
      <c r="D80" s="7" t="s">
        <v>563</v>
      </c>
      <c r="E80" s="7" t="s">
        <v>126</v>
      </c>
      <c r="F80" s="7" t="s">
        <v>64</v>
      </c>
      <c r="G80" s="7" t="s">
        <v>96</v>
      </c>
      <c r="H80" s="7" t="s">
        <v>168</v>
      </c>
      <c r="I80" s="7" t="s">
        <v>490</v>
      </c>
      <c r="J80" s="6">
        <v>1937</v>
      </c>
      <c r="K80" s="7">
        <v>390927</v>
      </c>
      <c r="L80" s="8">
        <v>232.68</v>
      </c>
      <c r="M80" s="9">
        <v>0.23268</v>
      </c>
      <c r="N80" s="8">
        <v>334.31</v>
      </c>
      <c r="O80" s="10">
        <v>0.1016</v>
      </c>
      <c r="P80" s="11">
        <v>46265</v>
      </c>
      <c r="Q80" s="7" t="s">
        <v>564</v>
      </c>
      <c r="R80" s="7" t="s">
        <v>93</v>
      </c>
      <c r="S80" s="7" t="s">
        <v>94</v>
      </c>
      <c r="T80" s="1" t="s">
        <v>565</v>
      </c>
    </row>
    <row r="81" spans="1:20" ht="30" customHeight="1">
      <c r="A81" s="6">
        <v>79</v>
      </c>
      <c r="B81" s="7" t="s">
        <v>566</v>
      </c>
      <c r="C81" s="7" t="s">
        <v>567</v>
      </c>
      <c r="D81" s="7" t="s">
        <v>568</v>
      </c>
      <c r="E81" s="7" t="s">
        <v>86</v>
      </c>
      <c r="F81" s="7" t="s">
        <v>78</v>
      </c>
      <c r="G81" s="7" t="s">
        <v>87</v>
      </c>
      <c r="H81" s="7" t="s">
        <v>203</v>
      </c>
      <c r="I81" s="7" t="s">
        <v>90</v>
      </c>
      <c r="J81" s="6">
        <v>1980</v>
      </c>
      <c r="K81" s="7">
        <v>31500</v>
      </c>
      <c r="L81" s="8">
        <v>232.49</v>
      </c>
      <c r="M81" s="9">
        <v>0.23249</v>
      </c>
      <c r="N81" s="8">
        <v>37.22</v>
      </c>
      <c r="O81" s="10">
        <v>0.24410000000000001</v>
      </c>
      <c r="P81" s="11">
        <v>46265</v>
      </c>
      <c r="Q81" s="7" t="s">
        <v>569</v>
      </c>
      <c r="R81" s="7" t="s">
        <v>93</v>
      </c>
      <c r="S81" s="29" t="s">
        <v>94</v>
      </c>
      <c r="T81" s="1" t="s">
        <v>570</v>
      </c>
    </row>
    <row r="82" spans="1:20" ht="30" customHeight="1">
      <c r="A82" s="6">
        <v>80</v>
      </c>
      <c r="B82" s="7" t="s">
        <v>571</v>
      </c>
      <c r="C82" s="7" t="s">
        <v>572</v>
      </c>
      <c r="D82" s="7" t="s">
        <v>573</v>
      </c>
      <c r="E82" s="7" t="s">
        <v>86</v>
      </c>
      <c r="F82" s="7" t="s">
        <v>78</v>
      </c>
      <c r="G82" s="7" t="s">
        <v>87</v>
      </c>
      <c r="H82" s="7" t="s">
        <v>574</v>
      </c>
      <c r="I82" s="7" t="s">
        <v>191</v>
      </c>
      <c r="J82" s="6">
        <v>2006</v>
      </c>
      <c r="K82" s="7">
        <v>125000</v>
      </c>
      <c r="L82" s="8">
        <v>229.2</v>
      </c>
      <c r="M82" s="9">
        <v>0.22919999999999999</v>
      </c>
      <c r="N82" s="8">
        <v>45.19</v>
      </c>
      <c r="O82" s="10">
        <v>0.16420000000000001</v>
      </c>
      <c r="P82" s="11">
        <v>46265</v>
      </c>
      <c r="Q82" s="7" t="s">
        <v>575</v>
      </c>
      <c r="R82" s="7" t="s">
        <v>93</v>
      </c>
      <c r="S82" s="29" t="s">
        <v>94</v>
      </c>
      <c r="T82" s="1" t="s">
        <v>576</v>
      </c>
    </row>
    <row r="83" spans="1:20" ht="30" customHeight="1">
      <c r="A83" s="6">
        <v>81</v>
      </c>
      <c r="B83" s="7" t="s">
        <v>577</v>
      </c>
      <c r="C83" s="7" t="s">
        <v>578</v>
      </c>
      <c r="D83" s="7" t="s">
        <v>579</v>
      </c>
      <c r="E83" s="7" t="s">
        <v>86</v>
      </c>
      <c r="F83" s="7" t="s">
        <v>78</v>
      </c>
      <c r="G83" s="7" t="s">
        <v>87</v>
      </c>
      <c r="H83" s="7" t="s">
        <v>89</v>
      </c>
      <c r="I83" s="7" t="s">
        <v>90</v>
      </c>
      <c r="J83" s="6">
        <v>1975</v>
      </c>
      <c r="K83" s="7">
        <v>17200</v>
      </c>
      <c r="L83" s="8">
        <v>229.12</v>
      </c>
      <c r="M83" s="9">
        <v>0.22912000000000002</v>
      </c>
      <c r="N83" s="8">
        <v>13.09</v>
      </c>
      <c r="O83" s="10">
        <v>0.41110000000000002</v>
      </c>
      <c r="P83" s="11">
        <v>46265</v>
      </c>
      <c r="Q83" s="7" t="s">
        <v>580</v>
      </c>
      <c r="R83" s="7" t="s">
        <v>93</v>
      </c>
      <c r="S83" s="29" t="s">
        <v>94</v>
      </c>
      <c r="T83" s="1" t="s">
        <v>581</v>
      </c>
    </row>
    <row r="84" spans="1:20" ht="30" hidden="1" customHeight="1">
      <c r="A84" s="6">
        <v>82</v>
      </c>
      <c r="B84" s="7" t="s">
        <v>582</v>
      </c>
      <c r="C84" s="7" t="s">
        <v>583</v>
      </c>
      <c r="D84" s="7" t="s">
        <v>584</v>
      </c>
      <c r="E84" s="7" t="s">
        <v>149</v>
      </c>
      <c r="F84" s="7" t="s">
        <v>66</v>
      </c>
      <c r="G84" s="7" t="s">
        <v>91</v>
      </c>
      <c r="H84" s="7" t="s">
        <v>585</v>
      </c>
      <c r="I84" s="7" t="s">
        <v>90</v>
      </c>
      <c r="J84" s="6">
        <v>1879</v>
      </c>
      <c r="K84" s="7">
        <v>65177</v>
      </c>
      <c r="L84" s="8">
        <v>225.3</v>
      </c>
      <c r="M84" s="9">
        <v>0.2253</v>
      </c>
      <c r="N84" s="8">
        <v>34.65</v>
      </c>
      <c r="O84" s="10">
        <v>0.26170000000000004</v>
      </c>
      <c r="P84" s="11">
        <v>46265</v>
      </c>
      <c r="Q84" s="7" t="s">
        <v>586</v>
      </c>
      <c r="R84" s="7" t="s">
        <v>93</v>
      </c>
      <c r="S84" s="7" t="s">
        <v>94</v>
      </c>
      <c r="T84" s="1" t="s">
        <v>587</v>
      </c>
    </row>
    <row r="85" spans="1:20" ht="30" customHeight="1">
      <c r="A85" s="6">
        <v>83</v>
      </c>
      <c r="B85" s="7" t="s">
        <v>588</v>
      </c>
      <c r="C85" s="7" t="s">
        <v>589</v>
      </c>
      <c r="D85" s="7" t="s">
        <v>590</v>
      </c>
      <c r="E85" s="7" t="s">
        <v>86</v>
      </c>
      <c r="F85" s="7" t="s">
        <v>78</v>
      </c>
      <c r="G85" s="7" t="s">
        <v>82</v>
      </c>
      <c r="H85" s="7" t="s">
        <v>240</v>
      </c>
      <c r="I85" s="7" t="s">
        <v>191</v>
      </c>
      <c r="J85" s="6">
        <v>1850</v>
      </c>
      <c r="K85" s="7">
        <v>76800</v>
      </c>
      <c r="L85" s="8">
        <v>223.55</v>
      </c>
      <c r="M85" s="9">
        <v>0.22355</v>
      </c>
      <c r="N85" s="8">
        <v>74.17</v>
      </c>
      <c r="O85" s="10">
        <v>0.192</v>
      </c>
      <c r="P85" s="11">
        <v>46265</v>
      </c>
      <c r="Q85" s="7" t="s">
        <v>591</v>
      </c>
      <c r="R85" s="7" t="s">
        <v>93</v>
      </c>
      <c r="S85" s="29" t="s">
        <v>94</v>
      </c>
      <c r="T85" s="1" t="s">
        <v>592</v>
      </c>
    </row>
    <row r="86" spans="1:20" ht="30" customHeight="1">
      <c r="A86" s="6">
        <v>84</v>
      </c>
      <c r="B86" s="7" t="s">
        <v>593</v>
      </c>
      <c r="C86" s="7" t="s">
        <v>594</v>
      </c>
      <c r="D86" s="7" t="s">
        <v>594</v>
      </c>
      <c r="E86" s="7" t="s">
        <v>86</v>
      </c>
      <c r="F86" s="7" t="s">
        <v>78</v>
      </c>
      <c r="G86" s="7" t="s">
        <v>87</v>
      </c>
      <c r="H86" s="7" t="s">
        <v>100</v>
      </c>
      <c r="I86" s="7" t="s">
        <v>191</v>
      </c>
      <c r="J86" s="6">
        <v>1911</v>
      </c>
      <c r="K86" s="7">
        <v>264300</v>
      </c>
      <c r="L86" s="8">
        <v>221.32</v>
      </c>
      <c r="M86" s="9">
        <v>0.22131999999999999</v>
      </c>
      <c r="N86" s="8">
        <v>68.91</v>
      </c>
      <c r="O86" s="10">
        <v>0.15310000000000001</v>
      </c>
      <c r="P86" s="11">
        <v>46265</v>
      </c>
      <c r="Q86" s="7" t="s">
        <v>595</v>
      </c>
      <c r="R86" s="7" t="s">
        <v>93</v>
      </c>
      <c r="S86" s="29" t="s">
        <v>94</v>
      </c>
      <c r="T86" s="1" t="s">
        <v>596</v>
      </c>
    </row>
    <row r="87" spans="1:20" ht="30" hidden="1" customHeight="1">
      <c r="A87" s="6">
        <v>85</v>
      </c>
      <c r="B87" s="7" t="s">
        <v>597</v>
      </c>
      <c r="C87" s="7" t="s">
        <v>598</v>
      </c>
      <c r="D87" s="7" t="s">
        <v>599</v>
      </c>
      <c r="E87" s="7" t="s">
        <v>148</v>
      </c>
      <c r="F87" s="7" t="s">
        <v>69</v>
      </c>
      <c r="G87" s="7" t="s">
        <v>82</v>
      </c>
      <c r="H87" s="7" t="s">
        <v>190</v>
      </c>
      <c r="I87" s="7" t="s">
        <v>600</v>
      </c>
      <c r="J87" s="6">
        <v>1999</v>
      </c>
      <c r="K87" s="7" t="s">
        <v>601</v>
      </c>
      <c r="L87" s="8">
        <v>220.99</v>
      </c>
      <c r="M87" s="9">
        <v>0.22099000000000002</v>
      </c>
      <c r="N87" s="8">
        <v>30.33</v>
      </c>
      <c r="O87" s="10" t="s">
        <v>385</v>
      </c>
      <c r="P87" s="11">
        <v>46265</v>
      </c>
      <c r="Q87" s="7" t="s">
        <v>602</v>
      </c>
      <c r="R87" s="7" t="s">
        <v>93</v>
      </c>
      <c r="S87" s="7" t="s">
        <v>387</v>
      </c>
      <c r="T87" s="1" t="s">
        <v>603</v>
      </c>
    </row>
    <row r="88" spans="1:20" ht="30" customHeight="1">
      <c r="A88" s="6">
        <v>86</v>
      </c>
      <c r="B88" s="7" t="s">
        <v>604</v>
      </c>
      <c r="C88" s="7" t="s">
        <v>605</v>
      </c>
      <c r="D88" s="7" t="s">
        <v>606</v>
      </c>
      <c r="E88" s="7" t="s">
        <v>86</v>
      </c>
      <c r="F88" s="7" t="s">
        <v>78</v>
      </c>
      <c r="G88" s="7" t="s">
        <v>82</v>
      </c>
      <c r="H88" s="7" t="s">
        <v>218</v>
      </c>
      <c r="I88" s="7" t="s">
        <v>191</v>
      </c>
      <c r="J88" s="6">
        <v>1812</v>
      </c>
      <c r="K88" s="7">
        <v>226000</v>
      </c>
      <c r="L88" s="8">
        <v>220.71</v>
      </c>
      <c r="M88" s="9">
        <v>0.22071000000000002</v>
      </c>
      <c r="N88" s="8">
        <v>88.08</v>
      </c>
      <c r="O88" s="10">
        <v>0.24850000000000003</v>
      </c>
      <c r="P88" s="11">
        <v>46265</v>
      </c>
      <c r="Q88" s="7" t="s">
        <v>607</v>
      </c>
      <c r="R88" s="7" t="s">
        <v>93</v>
      </c>
      <c r="S88" s="29" t="s">
        <v>94</v>
      </c>
      <c r="T88" s="1" t="s">
        <v>608</v>
      </c>
    </row>
    <row r="89" spans="1:20" ht="30" hidden="1" customHeight="1">
      <c r="A89" s="6">
        <v>87</v>
      </c>
      <c r="B89" s="7" t="s">
        <v>609</v>
      </c>
      <c r="C89" s="7" t="s">
        <v>610</v>
      </c>
      <c r="D89" s="7" t="s">
        <v>611</v>
      </c>
      <c r="E89" s="7" t="s">
        <v>114</v>
      </c>
      <c r="F89" s="7" t="s">
        <v>64</v>
      </c>
      <c r="G89" s="7" t="s">
        <v>22</v>
      </c>
      <c r="H89" s="7" t="s">
        <v>612</v>
      </c>
      <c r="I89" s="7" t="s">
        <v>613</v>
      </c>
      <c r="J89" s="6">
        <v>1997</v>
      </c>
      <c r="K89" s="7">
        <v>450000</v>
      </c>
      <c r="L89" s="8">
        <v>219.23</v>
      </c>
      <c r="M89" s="9">
        <v>0.21922999999999998</v>
      </c>
      <c r="N89" s="8">
        <v>156.12</v>
      </c>
      <c r="O89" s="10" t="s">
        <v>385</v>
      </c>
      <c r="P89" s="11">
        <v>46265</v>
      </c>
      <c r="Q89" s="7" t="s">
        <v>614</v>
      </c>
      <c r="R89" s="7" t="s">
        <v>93</v>
      </c>
      <c r="S89" s="7" t="s">
        <v>387</v>
      </c>
      <c r="T89" s="1" t="s">
        <v>615</v>
      </c>
    </row>
    <row r="90" spans="1:20" ht="30" customHeight="1">
      <c r="A90" s="6">
        <v>88</v>
      </c>
      <c r="B90" s="7" t="s">
        <v>616</v>
      </c>
      <c r="C90" s="7" t="s">
        <v>617</v>
      </c>
      <c r="D90" s="7" t="s">
        <v>618</v>
      </c>
      <c r="E90" s="7" t="s">
        <v>86</v>
      </c>
      <c r="F90" s="7" t="s">
        <v>78</v>
      </c>
      <c r="G90" s="7" t="s">
        <v>87</v>
      </c>
      <c r="H90" s="7" t="s">
        <v>140</v>
      </c>
      <c r="I90" s="7" t="s">
        <v>90</v>
      </c>
      <c r="J90" s="6">
        <v>1988</v>
      </c>
      <c r="K90" s="7">
        <v>11100</v>
      </c>
      <c r="L90" s="8">
        <v>215.08</v>
      </c>
      <c r="M90" s="9">
        <v>0.21508000000000002</v>
      </c>
      <c r="N90" s="8">
        <v>13.18</v>
      </c>
      <c r="O90" s="10">
        <v>0.3906</v>
      </c>
      <c r="P90" s="11">
        <v>46265</v>
      </c>
      <c r="Q90" s="7" t="s">
        <v>619</v>
      </c>
      <c r="R90" s="7" t="s">
        <v>93</v>
      </c>
      <c r="S90" s="29" t="s">
        <v>94</v>
      </c>
      <c r="T90" s="1" t="s">
        <v>620</v>
      </c>
    </row>
    <row r="91" spans="1:20" ht="30" customHeight="1">
      <c r="A91" s="6">
        <v>89</v>
      </c>
      <c r="B91" s="7" t="s">
        <v>621</v>
      </c>
      <c r="C91" s="7" t="s">
        <v>622</v>
      </c>
      <c r="D91" s="7" t="s">
        <v>623</v>
      </c>
      <c r="E91" s="7" t="s">
        <v>86</v>
      </c>
      <c r="F91" s="7" t="s">
        <v>78</v>
      </c>
      <c r="G91" s="7" t="s">
        <v>87</v>
      </c>
      <c r="H91" s="7" t="s">
        <v>100</v>
      </c>
      <c r="I91" s="7" t="s">
        <v>191</v>
      </c>
      <c r="J91" s="6">
        <v>1999</v>
      </c>
      <c r="K91" s="7">
        <v>83334</v>
      </c>
      <c r="L91" s="8">
        <v>213.84</v>
      </c>
      <c r="M91" s="9">
        <v>0.21384</v>
      </c>
      <c r="N91" s="8">
        <v>42.82</v>
      </c>
      <c r="O91" s="10">
        <v>0.2397</v>
      </c>
      <c r="P91" s="11">
        <v>46265</v>
      </c>
      <c r="Q91" s="7" t="s">
        <v>624</v>
      </c>
      <c r="R91" s="7" t="s">
        <v>93</v>
      </c>
      <c r="S91" s="29" t="s">
        <v>94</v>
      </c>
      <c r="T91" s="1" t="s">
        <v>625</v>
      </c>
    </row>
    <row r="92" spans="1:20" ht="30" hidden="1" customHeight="1">
      <c r="A92" s="6">
        <v>90</v>
      </c>
      <c r="B92" s="7" t="s">
        <v>626</v>
      </c>
      <c r="C92" s="7" t="s">
        <v>627</v>
      </c>
      <c r="D92" s="7" t="s">
        <v>628</v>
      </c>
      <c r="E92" s="7" t="s">
        <v>141</v>
      </c>
      <c r="F92" s="7" t="s">
        <v>66</v>
      </c>
      <c r="G92" s="7" t="s">
        <v>82</v>
      </c>
      <c r="H92" s="7" t="s">
        <v>218</v>
      </c>
      <c r="I92" s="7" t="s">
        <v>629</v>
      </c>
      <c r="J92" s="6">
        <v>1857</v>
      </c>
      <c r="K92" s="7">
        <v>198403</v>
      </c>
      <c r="L92" s="8">
        <v>211.82</v>
      </c>
      <c r="M92" s="9">
        <v>0.21181999999999998</v>
      </c>
      <c r="N92" s="8">
        <v>69</v>
      </c>
      <c r="O92" s="10">
        <v>0.32270000000000004</v>
      </c>
      <c r="P92" s="11">
        <v>46265</v>
      </c>
      <c r="Q92" s="7" t="s">
        <v>630</v>
      </c>
      <c r="R92" s="7" t="s">
        <v>93</v>
      </c>
      <c r="S92" s="7" t="s">
        <v>94</v>
      </c>
      <c r="T92" s="1" t="s">
        <v>631</v>
      </c>
    </row>
    <row r="93" spans="1:20" ht="30" hidden="1" customHeight="1">
      <c r="A93" s="6">
        <v>91</v>
      </c>
      <c r="B93" s="7" t="s">
        <v>632</v>
      </c>
      <c r="C93" s="7" t="s">
        <v>633</v>
      </c>
      <c r="D93" s="7" t="s">
        <v>634</v>
      </c>
      <c r="E93" s="7" t="s">
        <v>141</v>
      </c>
      <c r="F93" s="7" t="s">
        <v>66</v>
      </c>
      <c r="G93" s="7" t="s">
        <v>65</v>
      </c>
      <c r="H93" s="7" t="s">
        <v>466</v>
      </c>
      <c r="I93" s="7" t="s">
        <v>635</v>
      </c>
      <c r="J93" s="6">
        <v>1985</v>
      </c>
      <c r="K93" s="7">
        <v>163000</v>
      </c>
      <c r="L93" s="8">
        <v>210.73</v>
      </c>
      <c r="M93" s="9">
        <v>0.21073</v>
      </c>
      <c r="N93" s="8">
        <v>42.5</v>
      </c>
      <c r="O93" s="10">
        <v>0.20920000000000002</v>
      </c>
      <c r="P93" s="11">
        <v>46265</v>
      </c>
      <c r="Q93" s="7" t="s">
        <v>636</v>
      </c>
      <c r="R93" s="7" t="s">
        <v>93</v>
      </c>
      <c r="S93" s="7" t="s">
        <v>94</v>
      </c>
      <c r="T93" s="1" t="s">
        <v>637</v>
      </c>
    </row>
    <row r="94" spans="1:20" ht="30" customHeight="1">
      <c r="A94" s="6">
        <v>92</v>
      </c>
      <c r="B94" s="7" t="s">
        <v>638</v>
      </c>
      <c r="C94" s="7" t="s">
        <v>639</v>
      </c>
      <c r="D94" s="7" t="s">
        <v>640</v>
      </c>
      <c r="E94" s="7" t="s">
        <v>86</v>
      </c>
      <c r="F94" s="7" t="s">
        <v>78</v>
      </c>
      <c r="G94" s="7" t="s">
        <v>22</v>
      </c>
      <c r="H94" s="7" t="s">
        <v>612</v>
      </c>
      <c r="I94" s="7" t="s">
        <v>191</v>
      </c>
      <c r="J94" s="6">
        <v>2000</v>
      </c>
      <c r="K94" s="7">
        <v>89900</v>
      </c>
      <c r="L94" s="8">
        <v>208.51</v>
      </c>
      <c r="M94" s="9">
        <v>0.20851</v>
      </c>
      <c r="N94" s="8">
        <v>139.13999999999999</v>
      </c>
      <c r="O94" s="10">
        <v>0.16510000000000002</v>
      </c>
      <c r="P94" s="11">
        <v>46265</v>
      </c>
      <c r="Q94" s="7" t="s">
        <v>641</v>
      </c>
      <c r="R94" s="7" t="s">
        <v>93</v>
      </c>
      <c r="S94" s="29" t="s">
        <v>94</v>
      </c>
      <c r="T94" s="1" t="s">
        <v>642</v>
      </c>
    </row>
    <row r="95" spans="1:20" ht="30" hidden="1" customHeight="1">
      <c r="A95" s="6">
        <v>93</v>
      </c>
      <c r="B95" s="7" t="s">
        <v>643</v>
      </c>
      <c r="C95" s="7" t="s">
        <v>644</v>
      </c>
      <c r="D95" s="7" t="s">
        <v>645</v>
      </c>
      <c r="E95" s="7" t="s">
        <v>115</v>
      </c>
      <c r="F95" s="7" t="s">
        <v>66</v>
      </c>
      <c r="G95" s="7" t="s">
        <v>87</v>
      </c>
      <c r="H95" s="7" t="s">
        <v>203</v>
      </c>
      <c r="I95" s="7" t="s">
        <v>646</v>
      </c>
      <c r="J95" s="6">
        <v>1923</v>
      </c>
      <c r="K95" s="7">
        <v>69505</v>
      </c>
      <c r="L95" s="8">
        <v>200.31</v>
      </c>
      <c r="M95" s="9">
        <v>0.20031000000000002</v>
      </c>
      <c r="N95" s="8">
        <v>51.37</v>
      </c>
      <c r="O95" s="10">
        <v>0.42229999999999995</v>
      </c>
      <c r="P95" s="11">
        <v>46265</v>
      </c>
      <c r="Q95" s="7" t="s">
        <v>647</v>
      </c>
      <c r="R95" s="7" t="s">
        <v>93</v>
      </c>
      <c r="S95" s="7" t="s">
        <v>94</v>
      </c>
      <c r="T95" s="1" t="s">
        <v>648</v>
      </c>
    </row>
    <row r="96" spans="1:20" ht="30" hidden="1" customHeight="1">
      <c r="A96" s="6">
        <v>94</v>
      </c>
      <c r="B96" s="7" t="s">
        <v>649</v>
      </c>
      <c r="C96" s="7" t="s">
        <v>650</v>
      </c>
      <c r="D96" s="7" t="s">
        <v>651</v>
      </c>
      <c r="E96" s="7" t="s">
        <v>123</v>
      </c>
      <c r="F96" s="7" t="s">
        <v>66</v>
      </c>
      <c r="G96" s="7" t="s">
        <v>82</v>
      </c>
      <c r="H96" s="7" t="s">
        <v>652</v>
      </c>
      <c r="I96" s="7" t="s">
        <v>474</v>
      </c>
      <c r="J96" s="6">
        <v>1890</v>
      </c>
      <c r="K96" s="7">
        <v>156875</v>
      </c>
      <c r="L96" s="8">
        <v>198.64</v>
      </c>
      <c r="M96" s="9">
        <v>0.19863999999999998</v>
      </c>
      <c r="N96" s="8">
        <v>166.11</v>
      </c>
      <c r="O96" s="10">
        <v>0.12390000000000001</v>
      </c>
      <c r="P96" s="11">
        <v>46265</v>
      </c>
      <c r="Q96" s="7" t="s">
        <v>653</v>
      </c>
      <c r="R96" s="7" t="s">
        <v>93</v>
      </c>
      <c r="S96" s="7" t="s">
        <v>94</v>
      </c>
      <c r="T96" s="1" t="s">
        <v>654</v>
      </c>
    </row>
    <row r="97" spans="1:20" ht="30" hidden="1" customHeight="1">
      <c r="A97" s="6">
        <v>95</v>
      </c>
      <c r="B97" s="7" t="s">
        <v>655</v>
      </c>
      <c r="C97" s="7" t="s">
        <v>656</v>
      </c>
      <c r="D97" s="7" t="s">
        <v>657</v>
      </c>
      <c r="E97" s="7" t="s">
        <v>109</v>
      </c>
      <c r="F97" s="7" t="s">
        <v>78</v>
      </c>
      <c r="G97" s="7" t="s">
        <v>82</v>
      </c>
      <c r="H97" s="7" t="s">
        <v>218</v>
      </c>
      <c r="I97" s="7" t="s">
        <v>451</v>
      </c>
      <c r="J97" s="6">
        <v>1855</v>
      </c>
      <c r="K97" s="7">
        <v>94867</v>
      </c>
      <c r="L97" s="8">
        <v>198.02</v>
      </c>
      <c r="M97" s="9">
        <v>0.19802</v>
      </c>
      <c r="N97" s="8">
        <v>46.37</v>
      </c>
      <c r="O97" s="10">
        <v>0.29100000000000004</v>
      </c>
      <c r="P97" s="11">
        <v>46265</v>
      </c>
      <c r="Q97" s="7" t="s">
        <v>658</v>
      </c>
      <c r="R97" s="7" t="s">
        <v>93</v>
      </c>
      <c r="S97" s="7" t="s">
        <v>94</v>
      </c>
      <c r="T97" s="1" t="s">
        <v>659</v>
      </c>
    </row>
    <row r="98" spans="1:20" ht="30" hidden="1" customHeight="1">
      <c r="A98" s="6">
        <v>96</v>
      </c>
      <c r="B98" s="7" t="s">
        <v>660</v>
      </c>
      <c r="C98" s="7" t="s">
        <v>661</v>
      </c>
      <c r="D98" s="7" t="s">
        <v>662</v>
      </c>
      <c r="E98" s="7" t="s">
        <v>130</v>
      </c>
      <c r="F98" s="7" t="s">
        <v>64</v>
      </c>
      <c r="G98" s="7" t="s">
        <v>87</v>
      </c>
      <c r="H98" s="7" t="s">
        <v>89</v>
      </c>
      <c r="I98" s="7" t="s">
        <v>663</v>
      </c>
      <c r="J98" s="6">
        <v>1997</v>
      </c>
      <c r="K98" s="7" t="s">
        <v>224</v>
      </c>
      <c r="L98" s="8">
        <v>197.85</v>
      </c>
      <c r="M98" s="9">
        <v>0.19785</v>
      </c>
      <c r="N98" s="8">
        <v>19.23</v>
      </c>
      <c r="O98" s="10">
        <v>0.20949999999999999</v>
      </c>
      <c r="P98" s="11">
        <v>46265</v>
      </c>
      <c r="Q98" s="7" t="s">
        <v>664</v>
      </c>
      <c r="R98" s="7" t="s">
        <v>93</v>
      </c>
      <c r="S98" s="7" t="s">
        <v>94</v>
      </c>
      <c r="T98" s="1" t="s">
        <v>665</v>
      </c>
    </row>
    <row r="99" spans="1:20" ht="30" customHeight="1">
      <c r="A99" s="6">
        <v>97</v>
      </c>
      <c r="B99" s="7" t="s">
        <v>666</v>
      </c>
      <c r="C99" s="7" t="s">
        <v>667</v>
      </c>
      <c r="D99" s="7" t="s">
        <v>668</v>
      </c>
      <c r="E99" s="7" t="s">
        <v>86</v>
      </c>
      <c r="F99" s="7" t="s">
        <v>78</v>
      </c>
      <c r="G99" s="7" t="s">
        <v>87</v>
      </c>
      <c r="H99" s="7" t="s">
        <v>669</v>
      </c>
      <c r="I99" s="7" t="s">
        <v>191</v>
      </c>
      <c r="J99" s="6">
        <v>1932</v>
      </c>
      <c r="K99" s="7">
        <v>170000</v>
      </c>
      <c r="L99" s="8">
        <v>196.62</v>
      </c>
      <c r="M99" s="9">
        <v>0.19662000000000002</v>
      </c>
      <c r="N99" s="8">
        <v>23.1</v>
      </c>
      <c r="O99" s="10">
        <v>0.24249999999999999</v>
      </c>
      <c r="P99" s="11">
        <v>46265</v>
      </c>
      <c r="Q99" s="7" t="s">
        <v>6</v>
      </c>
      <c r="R99" s="7" t="s">
        <v>670</v>
      </c>
      <c r="S99" s="29" t="s">
        <v>94</v>
      </c>
      <c r="T99" s="1" t="s">
        <v>671</v>
      </c>
    </row>
    <row r="100" spans="1:20" ht="30" hidden="1" customHeight="1">
      <c r="A100" s="6">
        <v>98</v>
      </c>
      <c r="B100" s="7" t="s">
        <v>672</v>
      </c>
      <c r="C100" s="7" t="s">
        <v>673</v>
      </c>
      <c r="D100" s="7" t="s">
        <v>674</v>
      </c>
      <c r="E100" s="7" t="s">
        <v>121</v>
      </c>
      <c r="F100" s="7" t="s">
        <v>66</v>
      </c>
      <c r="G100" s="7" t="s">
        <v>74</v>
      </c>
      <c r="H100" s="7" t="s">
        <v>155</v>
      </c>
      <c r="I100" s="7" t="s">
        <v>675</v>
      </c>
      <c r="J100" s="6">
        <v>1924</v>
      </c>
      <c r="K100" s="7">
        <v>101513</v>
      </c>
      <c r="L100" s="8">
        <v>195.4</v>
      </c>
      <c r="M100" s="9">
        <v>0.19540000000000002</v>
      </c>
      <c r="N100" s="8">
        <v>201</v>
      </c>
      <c r="O100" s="10">
        <v>0.1231</v>
      </c>
      <c r="P100" s="11">
        <v>46265</v>
      </c>
      <c r="Q100" s="7" t="s">
        <v>6</v>
      </c>
      <c r="R100" s="7" t="s">
        <v>676</v>
      </c>
      <c r="S100" s="7" t="s">
        <v>94</v>
      </c>
      <c r="T100" s="1" t="s">
        <v>677</v>
      </c>
    </row>
    <row r="101" spans="1:20" ht="30" hidden="1" customHeight="1">
      <c r="A101" s="6">
        <v>99</v>
      </c>
      <c r="B101" s="7" t="s">
        <v>678</v>
      </c>
      <c r="C101" s="7" t="s">
        <v>679</v>
      </c>
      <c r="D101" s="7" t="s">
        <v>680</v>
      </c>
      <c r="E101" s="7" t="s">
        <v>131</v>
      </c>
      <c r="F101" s="7" t="s">
        <v>66</v>
      </c>
      <c r="G101" s="7" t="s">
        <v>82</v>
      </c>
      <c r="H101" s="7" t="s">
        <v>190</v>
      </c>
      <c r="I101" s="7" t="s">
        <v>681</v>
      </c>
      <c r="J101" s="6">
        <v>2019</v>
      </c>
      <c r="K101" s="7">
        <v>22159</v>
      </c>
      <c r="L101" s="8">
        <v>194.58</v>
      </c>
      <c r="M101" s="9">
        <v>0.19458</v>
      </c>
      <c r="N101" s="8">
        <v>9.6999999999999993</v>
      </c>
      <c r="O101" s="10" t="s">
        <v>385</v>
      </c>
      <c r="P101" s="11">
        <v>46265</v>
      </c>
      <c r="Q101" s="7" t="s">
        <v>682</v>
      </c>
      <c r="R101" s="7" t="s">
        <v>93</v>
      </c>
      <c r="S101" s="7" t="s">
        <v>387</v>
      </c>
      <c r="T101" s="1" t="s">
        <v>683</v>
      </c>
    </row>
    <row r="102" spans="1:20" ht="30" customHeight="1">
      <c r="A102" s="6">
        <v>100</v>
      </c>
      <c r="B102" s="7" t="s">
        <v>684</v>
      </c>
      <c r="C102" s="7" t="s">
        <v>685</v>
      </c>
      <c r="D102" s="7" t="s">
        <v>686</v>
      </c>
      <c r="E102" s="7" t="s">
        <v>86</v>
      </c>
      <c r="F102" s="7" t="s">
        <v>78</v>
      </c>
      <c r="G102" s="7" t="s">
        <v>22</v>
      </c>
      <c r="H102" s="7" t="s">
        <v>612</v>
      </c>
      <c r="I102" s="7" t="s">
        <v>90</v>
      </c>
      <c r="J102" s="6">
        <v>1994</v>
      </c>
      <c r="K102" s="7">
        <v>75000</v>
      </c>
      <c r="L102" s="8">
        <v>194.29</v>
      </c>
      <c r="M102" s="9">
        <v>0.19428999999999999</v>
      </c>
      <c r="N102" s="8">
        <v>88.308999999999997</v>
      </c>
      <c r="O102" s="10">
        <v>0.16170000000000001</v>
      </c>
      <c r="P102" s="11">
        <v>46265</v>
      </c>
      <c r="Q102" s="7" t="s">
        <v>6</v>
      </c>
      <c r="R102" s="7" t="s">
        <v>687</v>
      </c>
      <c r="S102" s="29" t="s">
        <v>94</v>
      </c>
      <c r="T102" s="1" t="s">
        <v>688</v>
      </c>
    </row>
    <row r="103" spans="1:20" ht="15.75" customHeight="1"/>
    <row r="104" spans="1:20" ht="15.75" customHeight="1"/>
    <row r="105" spans="1:20" ht="15.75" customHeight="1"/>
    <row r="106" spans="1:20" ht="15.75" customHeight="1"/>
    <row r="107" spans="1:20" ht="15.75" customHeight="1"/>
    <row r="108" spans="1:20" ht="15.75" customHeight="1"/>
    <row r="109" spans="1:20" ht="15.75" customHeight="1"/>
    <row r="110" spans="1:20" ht="15.75" customHeight="1"/>
    <row r="111" spans="1:20" ht="15.75" customHeight="1"/>
    <row r="112" spans="1:2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S1"/>
  </mergeCells>
  <pageMargins left="0.7" right="0.7" top="0.75" bottom="0.75" header="0" footer="0"/>
  <pageSetup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A4" sqref="A4"/>
    </sheetView>
  </sheetViews>
  <sheetFormatPr defaultColWidth="12.59765625" defaultRowHeight="15" customHeight="1"/>
  <cols>
    <col min="1" max="1" width="24" customWidth="1"/>
    <col min="2" max="5" width="18" customWidth="1"/>
    <col min="6" max="6" width="24" customWidth="1"/>
    <col min="7" max="8" width="18" customWidth="1"/>
    <col min="9" max="9" width="26.796875" customWidth="1"/>
    <col min="10" max="26" width="14.3984375" customWidth="1"/>
  </cols>
  <sheetData>
    <row r="1" spans="1:9" ht="24.6">
      <c r="A1" s="40" t="s">
        <v>0</v>
      </c>
      <c r="B1" s="41"/>
      <c r="C1" s="41"/>
      <c r="D1" s="41"/>
      <c r="E1" s="41"/>
      <c r="F1" s="41"/>
      <c r="G1" s="41"/>
      <c r="H1" s="41"/>
      <c r="I1" s="41"/>
    </row>
    <row r="3" spans="1:9" ht="27.6">
      <c r="A3" s="2" t="s">
        <v>1</v>
      </c>
      <c r="B3" s="2" t="s">
        <v>8</v>
      </c>
      <c r="C3" s="2" t="s">
        <v>11</v>
      </c>
      <c r="D3" s="2" t="s">
        <v>13</v>
      </c>
      <c r="F3" s="2" t="s">
        <v>15</v>
      </c>
      <c r="G3" s="2" t="s">
        <v>8</v>
      </c>
      <c r="H3" s="2" t="s">
        <v>11</v>
      </c>
      <c r="I3" s="2" t="s">
        <v>13</v>
      </c>
    </row>
    <row r="4" spans="1:9" ht="13.8">
      <c r="A4" s="3" t="s">
        <v>22</v>
      </c>
      <c r="B4" s="3">
        <f>COUNTIF('Top 100 Market Cap'!$G$3:$G$102,A4)</f>
        <v>3</v>
      </c>
      <c r="C4" s="3">
        <f>SUMIF('Top 100 Market Cap'!$G$3:$G$102,A4,'Top 100 Market Cap'!$L$3:$L$102)</f>
        <v>622.03</v>
      </c>
      <c r="D4" s="5">
        <f>C4/SUM('Top 100 Market Cap'!$L$3:$L$102)</f>
        <v>9.6669237136229585E-3</v>
      </c>
      <c r="F4" s="3" t="s">
        <v>64</v>
      </c>
      <c r="G4" s="3">
        <f>COUNTIF('Top 100 Market Cap'!$F$3:$F$102,F4)</f>
        <v>18</v>
      </c>
      <c r="H4" s="3">
        <f>SUMIF('Top 100 Market Cap'!$F$3:$F$102,F4,'Top 100 Market Cap'!$L$3:$L$102)</f>
        <v>9002.010000000002</v>
      </c>
      <c r="I4" s="5">
        <f>H4/SUM('Top 100 Market Cap'!$L$3:$L$102)</f>
        <v>0.13989959316957548</v>
      </c>
    </row>
    <row r="5" spans="1:9" ht="13.8">
      <c r="A5" s="3" t="s">
        <v>65</v>
      </c>
      <c r="B5" s="3">
        <f>COUNTIF('Top 100 Market Cap'!$G$3:$G$102,A5)</f>
        <v>7</v>
      </c>
      <c r="C5" s="3">
        <f>SUMIF('Top 100 Market Cap'!$G$3:$G$102,A5,'Top 100 Market Cap'!$L$3:$L$102)</f>
        <v>2627.2700000000004</v>
      </c>
      <c r="D5" s="5">
        <f>C5/SUM('Top 100 Market Cap'!$L$3:$L$102)</f>
        <v>4.083021504604311E-2</v>
      </c>
      <c r="F5" s="3" t="s">
        <v>66</v>
      </c>
      <c r="G5" s="3">
        <f>COUNTIF('Top 100 Market Cap'!$F$3:$F$102,F5)</f>
        <v>19</v>
      </c>
      <c r="H5" s="3">
        <f>SUMIF('Top 100 Market Cap'!$F$3:$F$102,F5,'Top 100 Market Cap'!$L$3:$L$102)</f>
        <v>5108.43</v>
      </c>
      <c r="I5" s="5">
        <f>H5/SUM('Top 100 Market Cap'!$L$3:$L$102)</f>
        <v>7.93897450386363E-2</v>
      </c>
    </row>
    <row r="6" spans="1:9" ht="13.8">
      <c r="A6" s="3" t="s">
        <v>67</v>
      </c>
      <c r="B6" s="3">
        <f>COUNTIF('Top 100 Market Cap'!$G$3:$G$102,A6)</f>
        <v>4</v>
      </c>
      <c r="C6" s="3">
        <f>SUMIF('Top 100 Market Cap'!$G$3:$G$102,A6,'Top 100 Market Cap'!$L$3:$L$102)</f>
        <v>1168.26</v>
      </c>
      <c r="D6" s="5">
        <f>C6/SUM('Top 100 Market Cap'!$L$3:$L$102)</f>
        <v>1.8155845051970418E-2</v>
      </c>
      <c r="F6" s="3" t="s">
        <v>69</v>
      </c>
      <c r="G6" s="3">
        <f>COUNTIF('Top 100 Market Cap'!$F$3:$F$102,F6)</f>
        <v>2</v>
      </c>
      <c r="H6" s="3">
        <f>SUMIF('Top 100 Market Cap'!$F$3:$F$102,F6,'Top 100 Market Cap'!$L$3:$L$102)</f>
        <v>1899.99</v>
      </c>
      <c r="I6" s="5">
        <f>H6/SUM('Top 100 Market Cap'!$L$3:$L$102)</f>
        <v>2.9527608614771772E-2</v>
      </c>
    </row>
    <row r="7" spans="1:9" ht="13.8">
      <c r="A7" s="3" t="s">
        <v>74</v>
      </c>
      <c r="B7" s="3">
        <f>COUNTIF('Top 100 Market Cap'!$G$3:$G$102,A7)</f>
        <v>7</v>
      </c>
      <c r="C7" s="3">
        <f>SUMIF('Top 100 Market Cap'!$G$3:$G$102,A7,'Top 100 Market Cap'!$L$3:$L$102)</f>
        <v>3663.42</v>
      </c>
      <c r="D7" s="5">
        <f>C7/SUM('Top 100 Market Cap'!$L$3:$L$102)</f>
        <v>5.69329480426356E-2</v>
      </c>
      <c r="F7" s="3" t="s">
        <v>78</v>
      </c>
      <c r="G7" s="3">
        <f>COUNTIF('Top 100 Market Cap'!$F$3:$F$102,F7)</f>
        <v>61</v>
      </c>
      <c r="H7" s="3">
        <f>SUMIF('Top 100 Market Cap'!$F$3:$F$102,F7,'Top 100 Market Cap'!$L$3:$L$102)</f>
        <v>48335.789999999994</v>
      </c>
      <c r="I7" s="5">
        <f>H7/SUM('Top 100 Market Cap'!$L$3:$L$102)</f>
        <v>0.75118305317701628</v>
      </c>
    </row>
    <row r="8" spans="1:9" ht="13.8">
      <c r="A8" s="3" t="s">
        <v>82</v>
      </c>
      <c r="B8" s="3">
        <f>COUNTIF('Top 100 Market Cap'!$G$3:$G$102,A8)</f>
        <v>23</v>
      </c>
      <c r="C8" s="3">
        <f>SUMIF('Top 100 Market Cap'!$G$3:$G$102,A8,'Top 100 Market Cap'!$L$3:$L$102)</f>
        <v>8731.2000000000007</v>
      </c>
      <c r="D8" s="5">
        <f>C8/SUM('Top 100 Market Cap'!$L$3:$L$102)</f>
        <v>0.13569095434044143</v>
      </c>
    </row>
    <row r="9" spans="1:9" ht="13.8">
      <c r="A9" s="3" t="s">
        <v>88</v>
      </c>
      <c r="B9" s="3">
        <f>COUNTIF('Top 100 Market Cap'!$G$3:$G$102,A9)</f>
        <v>3</v>
      </c>
      <c r="C9" s="3">
        <f>SUMIF('Top 100 Market Cap'!$G$3:$G$102,A9,'Top 100 Market Cap'!$L$3:$L$102)</f>
        <v>888.9</v>
      </c>
      <c r="D9" s="5">
        <f>C9/SUM('Top 100 Market Cap'!$L$3:$L$102)</f>
        <v>1.3814331284728145E-2</v>
      </c>
    </row>
    <row r="10" spans="1:9" ht="13.8">
      <c r="A10" s="3" t="s">
        <v>91</v>
      </c>
      <c r="B10" s="3">
        <f>COUNTIF('Top 100 Market Cap'!$G$3:$G$102,A10)</f>
        <v>2</v>
      </c>
      <c r="C10" s="3">
        <f>SUMIF('Top 100 Market Cap'!$G$3:$G$102,A10,'Top 100 Market Cap'!$L$3:$L$102)</f>
        <v>463.84000000000003</v>
      </c>
      <c r="D10" s="5">
        <f>C10/SUM('Top 100 Market Cap'!$L$3:$L$102)</f>
        <v>7.2085042446937827E-3</v>
      </c>
    </row>
    <row r="11" spans="1:9" ht="13.8">
      <c r="A11" s="3" t="s">
        <v>96</v>
      </c>
      <c r="B11" s="3">
        <f>COUNTIF('Top 100 Market Cap'!$G$3:$G$102,A11)</f>
        <v>2</v>
      </c>
      <c r="C11" s="3">
        <f>SUMIF('Top 100 Market Cap'!$G$3:$G$102,A11,'Top 100 Market Cap'!$L$3:$L$102)</f>
        <v>598.52</v>
      </c>
      <c r="D11" s="5">
        <f>C11/SUM('Top 100 Market Cap'!$L$3:$L$102)</f>
        <v>9.3015564861463479E-3</v>
      </c>
    </row>
    <row r="12" spans="1:9" ht="13.8">
      <c r="A12" s="3" t="s">
        <v>87</v>
      </c>
      <c r="B12" s="3">
        <f>COUNTIF('Top 100 Market Cap'!$G$3:$G$102,A12)</f>
        <v>48</v>
      </c>
      <c r="C12" s="3">
        <f>SUMIF('Top 100 Market Cap'!$G$3:$G$102,A12,'Top 100 Market Cap'!$L$3:$L$102)</f>
        <v>45332.449999999975</v>
      </c>
      <c r="D12" s="5">
        <f>C12/SUM('Top 100 Market Cap'!$L$3:$L$102)</f>
        <v>0.70450836117490612</v>
      </c>
    </row>
    <row r="13" spans="1:9" ht="13.8">
      <c r="A13" s="3" t="s">
        <v>101</v>
      </c>
      <c r="B13" s="3">
        <f>COUNTIF('Top 100 Market Cap'!$G$3:$G$102,A13)</f>
        <v>1</v>
      </c>
      <c r="C13" s="3">
        <f>SUMIF('Top 100 Market Cap'!$G$3:$G$102,A13,'Top 100 Market Cap'!$L$3:$L$102)</f>
        <v>250.33</v>
      </c>
      <c r="D13" s="5">
        <f>C13/SUM('Top 100 Market Cap'!$L$3:$L$102)</f>
        <v>3.8903606148115613E-3</v>
      </c>
    </row>
    <row r="16" spans="1:9" ht="27.6">
      <c r="A16" s="2" t="s">
        <v>73</v>
      </c>
      <c r="B16" s="2" t="s">
        <v>8</v>
      </c>
      <c r="C16" s="2" t="s">
        <v>11</v>
      </c>
      <c r="D16" s="2" t="s">
        <v>13</v>
      </c>
    </row>
    <row r="17" spans="1:4" ht="13.8">
      <c r="A17" s="3" t="s">
        <v>107</v>
      </c>
      <c r="B17" s="3">
        <f>COUNTIF('Top 100 Market Cap'!$E$3:$E$102,A17)</f>
        <v>1</v>
      </c>
      <c r="C17" s="3">
        <f>SUMIF('Top 100 Market Cap'!$E$3:$E$102,A17,'Top 100 Market Cap'!$L$3:$L$102)</f>
        <v>238.54</v>
      </c>
      <c r="D17" s="5">
        <f>C17/SUM('Top 100 Market Cap'!$L$3:$L$102)</f>
        <v>3.707133068578076E-3</v>
      </c>
    </row>
    <row r="18" spans="1:4" ht="13.8">
      <c r="A18" s="3" t="s">
        <v>109</v>
      </c>
      <c r="B18" s="3">
        <f>COUNTIF('Top 100 Market Cap'!$E$3:$E$102,A18)</f>
        <v>2</v>
      </c>
      <c r="C18" s="3">
        <f>SUMIF('Top 100 Market Cap'!$E$3:$E$102,A18,'Top 100 Market Cap'!$L$3:$L$102)</f>
        <v>480.18000000000006</v>
      </c>
      <c r="D18" s="5">
        <f>C18/SUM('Top 100 Market Cap'!$L$3:$L$102)</f>
        <v>7.4624430153006653E-3</v>
      </c>
    </row>
    <row r="19" spans="1:4" ht="13.8">
      <c r="A19" s="3" t="s">
        <v>114</v>
      </c>
      <c r="B19" s="3">
        <f>COUNTIF('Top 100 Market Cap'!$E$3:$E$102,A19)</f>
        <v>11</v>
      </c>
      <c r="C19" s="3">
        <f>SUMIF('Top 100 Market Cap'!$E$3:$E$102,A19,'Top 100 Market Cap'!$L$3:$L$102)</f>
        <v>3805.3999999999992</v>
      </c>
      <c r="D19" s="5">
        <f>C19/SUM('Top 100 Market Cap'!$L$3:$L$102)</f>
        <v>5.9139449061654262E-2</v>
      </c>
    </row>
    <row r="20" spans="1:4" ht="13.8">
      <c r="A20" s="3" t="s">
        <v>115</v>
      </c>
      <c r="B20" s="3">
        <f>COUNTIF('Top 100 Market Cap'!$E$3:$E$102,A20)</f>
        <v>1</v>
      </c>
      <c r="C20" s="3">
        <f>SUMIF('Top 100 Market Cap'!$E$3:$E$102,A20,'Top 100 Market Cap'!$L$3:$L$102)</f>
        <v>200.31</v>
      </c>
      <c r="D20" s="5">
        <f>C20/SUM('Top 100 Market Cap'!$L$3:$L$102)</f>
        <v>3.1130033745571995E-3</v>
      </c>
    </row>
    <row r="21" spans="1:4" ht="15.75" customHeight="1">
      <c r="A21" s="3" t="s">
        <v>121</v>
      </c>
      <c r="B21" s="3">
        <f>COUNTIF('Top 100 Market Cap'!$E$3:$E$102,A21)</f>
        <v>3</v>
      </c>
      <c r="C21" s="3">
        <f>SUMIF('Top 100 Market Cap'!$E$3:$E$102,A21,'Top 100 Market Cap'!$L$3:$L$102)</f>
        <v>693.09</v>
      </c>
      <c r="D21" s="5">
        <f>C21/SUM('Top 100 Market Cap'!$L$3:$L$102)</f>
        <v>1.0771262088122659E-2</v>
      </c>
    </row>
    <row r="22" spans="1:4" ht="15.75" customHeight="1">
      <c r="A22" s="3" t="s">
        <v>123</v>
      </c>
      <c r="B22" s="3">
        <f>COUNTIF('Top 100 Market Cap'!$E$3:$E$102,A22)</f>
        <v>3</v>
      </c>
      <c r="C22" s="3">
        <f>SUMIF('Top 100 Market Cap'!$E$3:$E$102,A22,'Top 100 Market Cap'!$L$3:$L$102)</f>
        <v>713.65</v>
      </c>
      <c r="D22" s="5">
        <f>C22/SUM('Top 100 Market Cap'!$L$3:$L$102)</f>
        <v>1.1090783576719812E-2</v>
      </c>
    </row>
    <row r="23" spans="1:4" ht="15.75" customHeight="1">
      <c r="A23" s="3" t="s">
        <v>126</v>
      </c>
      <c r="B23" s="3">
        <f>COUNTIF('Top 100 Market Cap'!$E$3:$E$102,A23)</f>
        <v>2</v>
      </c>
      <c r="C23" s="3">
        <f>SUMIF('Top 100 Market Cap'!$E$3:$E$102,A23,'Top 100 Market Cap'!$L$3:$L$102)</f>
        <v>488.55</v>
      </c>
      <c r="D23" s="5">
        <f>C23/SUM('Top 100 Market Cap'!$L$3:$L$102)</f>
        <v>7.5925205862908485E-3</v>
      </c>
    </row>
    <row r="24" spans="1:4" ht="15.75" customHeight="1">
      <c r="A24" s="3" t="s">
        <v>131</v>
      </c>
      <c r="B24" s="3">
        <f>COUNTIF('Top 100 Market Cap'!$E$3:$E$102,A24)</f>
        <v>2</v>
      </c>
      <c r="C24" s="3">
        <f>SUMIF('Top 100 Market Cap'!$E$3:$E$102,A24,'Top 100 Market Cap'!$L$3:$L$102)</f>
        <v>843.91000000000008</v>
      </c>
      <c r="D24" s="5">
        <f>C24/SUM('Top 100 Market Cap'!$L$3:$L$102)</f>
        <v>1.3115144914495365E-2</v>
      </c>
    </row>
    <row r="25" spans="1:4" ht="15.75" customHeight="1">
      <c r="A25" s="3" t="s">
        <v>133</v>
      </c>
      <c r="B25" s="3">
        <f>COUNTIF('Top 100 Market Cap'!$E$3:$E$102,A25)</f>
        <v>1</v>
      </c>
      <c r="C25" s="3">
        <f>SUMIF('Top 100 Market Cap'!$E$3:$E$102,A25,'Top 100 Market Cap'!$L$3:$L$102)</f>
        <v>1679</v>
      </c>
      <c r="D25" s="5">
        <f>C25/SUM('Top 100 Market Cap'!$L$3:$L$102)</f>
        <v>2.6093218840205372E-2</v>
      </c>
    </row>
    <row r="26" spans="1:4" ht="15.75" customHeight="1">
      <c r="A26" s="3" t="s">
        <v>139</v>
      </c>
      <c r="B26" s="3">
        <f>COUNTIF('Top 100 Market Cap'!$E$3:$E$102,A26)</f>
        <v>2</v>
      </c>
      <c r="C26" s="3">
        <f>SUMIF('Top 100 Market Cap'!$E$3:$E$102,A26,'Top 100 Market Cap'!$L$3:$L$102)</f>
        <v>2116.67</v>
      </c>
      <c r="D26" s="5">
        <f>C26/SUM('Top 100 Market Cap'!$L$3:$L$102)</f>
        <v>3.2895016987788871E-2</v>
      </c>
    </row>
    <row r="27" spans="1:4" ht="15.75" customHeight="1">
      <c r="A27" s="3" t="s">
        <v>141</v>
      </c>
      <c r="B27" s="3">
        <f>COUNTIF('Top 100 Market Cap'!$E$3:$E$102,A27)</f>
        <v>2</v>
      </c>
      <c r="C27" s="3">
        <f>SUMIF('Top 100 Market Cap'!$E$3:$E$102,A27,'Top 100 Market Cap'!$L$3:$L$102)</f>
        <v>422.54999999999995</v>
      </c>
      <c r="D27" s="5">
        <f>C27/SUM('Top 100 Market Cap'!$L$3:$L$102)</f>
        <v>6.5668193096657407E-3</v>
      </c>
    </row>
    <row r="28" spans="1:4" ht="15.75" customHeight="1">
      <c r="A28" s="3" t="s">
        <v>142</v>
      </c>
      <c r="B28" s="3">
        <f>COUNTIF('Top 100 Market Cap'!$E$3:$E$102,A28)</f>
        <v>3</v>
      </c>
      <c r="C28" s="3">
        <f>SUMIF('Top 100 Market Cap'!$E$3:$E$102,A28,'Top 100 Market Cap'!$L$3:$L$102)</f>
        <v>895.6</v>
      </c>
      <c r="D28" s="5">
        <f>C28/SUM('Top 100 Market Cap'!$L$3:$L$102)</f>
        <v>1.3918455505234028E-2</v>
      </c>
    </row>
    <row r="29" spans="1:4" ht="15.75" customHeight="1">
      <c r="A29" s="3" t="s">
        <v>130</v>
      </c>
      <c r="B29" s="3">
        <f>COUNTIF('Top 100 Market Cap'!$E$3:$E$102,A29)</f>
        <v>2</v>
      </c>
      <c r="C29" s="3">
        <f>SUMIF('Top 100 Market Cap'!$E$3:$E$102,A29,'Top 100 Market Cap'!$L$3:$L$102)</f>
        <v>2352.85</v>
      </c>
      <c r="D29" s="5">
        <f>C29/SUM('Top 100 Market Cap'!$L$3:$L$102)</f>
        <v>3.6565473465263378E-2</v>
      </c>
    </row>
    <row r="30" spans="1:4" ht="15.75" customHeight="1">
      <c r="A30" s="3" t="s">
        <v>148</v>
      </c>
      <c r="B30" s="3">
        <f>COUNTIF('Top 100 Market Cap'!$E$3:$E$102,A30)</f>
        <v>1</v>
      </c>
      <c r="C30" s="3">
        <f>SUMIF('Top 100 Market Cap'!$E$3:$E$102,A30,'Top 100 Market Cap'!$L$3:$L$102)</f>
        <v>220.99</v>
      </c>
      <c r="D30" s="5">
        <f>C30/SUM('Top 100 Market Cap'!$L$3:$L$102)</f>
        <v>3.4343897745664001E-3</v>
      </c>
    </row>
    <row r="31" spans="1:4" ht="15.75" customHeight="1">
      <c r="A31" s="3" t="s">
        <v>149</v>
      </c>
      <c r="B31" s="3">
        <f>COUNTIF('Top 100 Market Cap'!$E$3:$E$102,A31)</f>
        <v>5</v>
      </c>
      <c r="C31" s="3">
        <f>SUMIF('Top 100 Market Cap'!$E$3:$E$102,A31,'Top 100 Market Cap'!$L$3:$L$102)</f>
        <v>1339.32</v>
      </c>
      <c r="D31" s="5">
        <f>C31/SUM('Top 100 Market Cap'!$L$3:$L$102)</f>
        <v>2.0814276269841489E-2</v>
      </c>
    </row>
    <row r="32" spans="1:4" ht="15.75" customHeight="1">
      <c r="A32" s="3" t="s">
        <v>86</v>
      </c>
      <c r="B32" s="3">
        <f>COUNTIF('Top 100 Market Cap'!$E$3:$E$102,A32)</f>
        <v>59</v>
      </c>
      <c r="C32" s="3">
        <f>SUMIF('Top 100 Market Cap'!$E$3:$E$102,A32,'Top 100 Market Cap'!$L$3:$L$102)</f>
        <v>47855.609999999993</v>
      </c>
      <c r="D32" s="5">
        <f>C32/SUM('Top 100 Market Cap'!$L$3:$L$102)</f>
        <v>0.74372061016171565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21" workbookViewId="0">
      <selection activeCell="A23" sqref="A23:E23"/>
    </sheetView>
  </sheetViews>
  <sheetFormatPr defaultColWidth="12.59765625" defaultRowHeight="15" customHeight="1"/>
  <cols>
    <col min="1" max="1" width="15" customWidth="1"/>
    <col min="2" max="4" width="18" customWidth="1"/>
    <col min="5" max="5" width="22" customWidth="1"/>
    <col min="6" max="12" width="15" customWidth="1"/>
    <col min="13" max="26" width="14.3984375" customWidth="1"/>
  </cols>
  <sheetData>
    <row r="1" spans="1:12" ht="30" customHeight="1">
      <c r="A1" s="43" t="s">
        <v>694</v>
      </c>
      <c r="B1" s="44"/>
      <c r="C1" s="44"/>
      <c r="D1" s="44"/>
      <c r="E1" s="44"/>
      <c r="F1" s="44"/>
      <c r="G1" s="44"/>
      <c r="H1" s="44"/>
      <c r="I1" s="44"/>
      <c r="J1" s="44"/>
      <c r="K1" s="44"/>
      <c r="L1" s="44"/>
    </row>
    <row r="2" spans="1:12" ht="24" customHeight="1">
      <c r="A2" s="42" t="s">
        <v>689</v>
      </c>
      <c r="B2" s="42"/>
      <c r="C2" s="42"/>
      <c r="D2" s="42"/>
      <c r="E2" s="42"/>
      <c r="F2" s="42"/>
      <c r="G2" s="42"/>
      <c r="H2" s="42"/>
      <c r="I2" s="42"/>
      <c r="J2" s="42"/>
      <c r="K2" s="42"/>
      <c r="L2" s="42"/>
    </row>
    <row r="3" spans="1:12" ht="24" customHeight="1">
      <c r="A3" s="17" t="s">
        <v>207</v>
      </c>
      <c r="B3" s="17"/>
      <c r="C3" s="17" t="s">
        <v>209</v>
      </c>
      <c r="D3" s="17"/>
      <c r="E3" s="17" t="s">
        <v>210</v>
      </c>
      <c r="F3" s="17"/>
      <c r="G3" s="17" t="s">
        <v>211</v>
      </c>
      <c r="H3" s="17"/>
      <c r="I3" s="17" t="s">
        <v>213</v>
      </c>
      <c r="J3" s="17"/>
      <c r="K3" s="17" t="s">
        <v>214</v>
      </c>
      <c r="L3" s="17"/>
    </row>
    <row r="4" spans="1:12" ht="24" customHeight="1">
      <c r="A4" s="3">
        <f>COUNTA('Top 100 Market Cap'!A3:A102)</f>
        <v>100</v>
      </c>
      <c r="C4" s="20">
        <f>SUM('Top 100 Market Cap'!L3:L102)/1000</f>
        <v>64.346220000000002</v>
      </c>
      <c r="E4" s="3" t="s">
        <v>84</v>
      </c>
      <c r="F4" s="20">
        <f>MAX('Top 100 Market Cap'!L3:L102)/1000</f>
        <v>5.306</v>
      </c>
      <c r="G4" s="22">
        <f>MEDIAN('Top 100 Market Cap'!L3:L102)</f>
        <v>319.72000000000003</v>
      </c>
      <c r="I4" s="3">
        <f>COUNTIF('Top 100 Market Cap'!E3:E102,"USA")</f>
        <v>59</v>
      </c>
      <c r="K4" s="23" t="str">
        <f>"Weak positive (r="&amp;TEXT('Relationship Analysis'!B5,"0.000")&amp;")"</f>
        <v>Weak positive (r=0.282)</v>
      </c>
    </row>
    <row r="5" spans="1:12" ht="24" customHeight="1"/>
    <row r="6" spans="1:12" ht="24" customHeight="1"/>
    <row r="7" spans="1:12" ht="24" customHeight="1">
      <c r="A7" s="2" t="s">
        <v>68</v>
      </c>
      <c r="B7" s="2" t="s">
        <v>202</v>
      </c>
      <c r="C7" s="2" t="s">
        <v>11</v>
      </c>
      <c r="E7" s="2" t="s">
        <v>1</v>
      </c>
      <c r="F7" s="2" t="s">
        <v>207</v>
      </c>
      <c r="G7" s="2" t="s">
        <v>11</v>
      </c>
    </row>
    <row r="8" spans="1:12" ht="24" customHeight="1">
      <c r="A8" s="3">
        <v>1</v>
      </c>
      <c r="B8" s="3" t="s">
        <v>84</v>
      </c>
      <c r="C8" s="3">
        <v>5306</v>
      </c>
      <c r="E8" s="3" t="s">
        <v>22</v>
      </c>
      <c r="F8" s="3">
        <f>COUNTIF('Top 100 Market Cap'!$G$3:$G$102,E8)</f>
        <v>3</v>
      </c>
      <c r="G8" s="3">
        <f>SUMIF('Top 100 Market Cap'!$G$3:$G$102,E8,'Top 100 Market Cap'!$L$3:$L$102)</f>
        <v>622.03</v>
      </c>
    </row>
    <row r="9" spans="1:12" ht="24" customHeight="1">
      <c r="A9" s="3">
        <v>2</v>
      </c>
      <c r="B9" s="3" t="s">
        <v>98</v>
      </c>
      <c r="C9" s="3">
        <v>4609</v>
      </c>
      <c r="E9" s="3" t="s">
        <v>65</v>
      </c>
      <c r="F9" s="3">
        <f>COUNTIF('Top 100 Market Cap'!$G$3:$G$102,E9)</f>
        <v>7</v>
      </c>
      <c r="G9" s="3">
        <f>SUMIF('Top 100 Market Cap'!$G$3:$G$102,E9,'Top 100 Market Cap'!$L$3:$L$102)</f>
        <v>2627.2700000000004</v>
      </c>
    </row>
    <row r="10" spans="1:12" ht="24" customHeight="1">
      <c r="A10" s="3">
        <v>3</v>
      </c>
      <c r="B10" s="3" t="s">
        <v>105</v>
      </c>
      <c r="C10" s="3">
        <v>4096</v>
      </c>
      <c r="E10" s="3" t="s">
        <v>67</v>
      </c>
      <c r="F10" s="3">
        <f>COUNTIF('Top 100 Market Cap'!$G$3:$G$102,E10)</f>
        <v>4</v>
      </c>
      <c r="G10" s="3">
        <f>SUMIF('Top 100 Market Cap'!$G$3:$G$102,E10,'Top 100 Market Cap'!$L$3:$L$102)</f>
        <v>1168.26</v>
      </c>
    </row>
    <row r="11" spans="1:12" ht="24" customHeight="1">
      <c r="A11" s="3">
        <v>4</v>
      </c>
      <c r="B11" s="3" t="s">
        <v>112</v>
      </c>
      <c r="C11" s="3">
        <v>3783</v>
      </c>
      <c r="E11" s="3" t="s">
        <v>74</v>
      </c>
      <c r="F11" s="3">
        <f>COUNTIF('Top 100 Market Cap'!$G$3:$G$102,E11)</f>
        <v>7</v>
      </c>
      <c r="G11" s="3">
        <f>SUMIF('Top 100 Market Cap'!$G$3:$G$102,E11,'Top 100 Market Cap'!$L$3:$L$102)</f>
        <v>3663.42</v>
      </c>
    </row>
    <row r="12" spans="1:12" ht="24" customHeight="1">
      <c r="A12" s="3">
        <v>5</v>
      </c>
      <c r="B12" s="3" t="s">
        <v>119</v>
      </c>
      <c r="C12" s="3">
        <v>2794</v>
      </c>
      <c r="E12" s="3" t="s">
        <v>82</v>
      </c>
      <c r="F12" s="3">
        <f>COUNTIF('Top 100 Market Cap'!$G$3:$G$102,E12)</f>
        <v>23</v>
      </c>
      <c r="G12" s="3">
        <f>SUMIF('Top 100 Market Cap'!$G$3:$G$102,E12,'Top 100 Market Cap'!$L$3:$L$102)</f>
        <v>8731.2000000000007</v>
      </c>
    </row>
    <row r="13" spans="1:12" ht="24" customHeight="1">
      <c r="A13" s="3">
        <v>6</v>
      </c>
      <c r="B13" s="3" t="s">
        <v>128</v>
      </c>
      <c r="C13" s="3">
        <v>2155</v>
      </c>
      <c r="E13" s="3" t="s">
        <v>88</v>
      </c>
      <c r="F13" s="3">
        <f>COUNTIF('Top 100 Market Cap'!$G$3:$G$102,E13)</f>
        <v>3</v>
      </c>
      <c r="G13" s="3">
        <f>SUMIF('Top 100 Market Cap'!$G$3:$G$102,E13,'Top 100 Market Cap'!$L$3:$L$102)</f>
        <v>888.9</v>
      </c>
    </row>
    <row r="14" spans="1:12" ht="24" customHeight="1">
      <c r="A14" s="3">
        <v>7</v>
      </c>
      <c r="B14" s="3" t="s">
        <v>137</v>
      </c>
      <c r="C14" s="3">
        <v>1876</v>
      </c>
      <c r="E14" s="3" t="s">
        <v>91</v>
      </c>
      <c r="F14" s="3">
        <f>COUNTIF('Top 100 Market Cap'!$G$3:$G$102,E14)</f>
        <v>2</v>
      </c>
      <c r="G14" s="3">
        <f>SUMIF('Top 100 Market Cap'!$G$3:$G$102,E14,'Top 100 Market Cap'!$L$3:$L$102)</f>
        <v>463.84000000000003</v>
      </c>
    </row>
    <row r="15" spans="1:12" ht="24" customHeight="1">
      <c r="A15" s="3">
        <v>8</v>
      </c>
      <c r="B15" s="3" t="s">
        <v>146</v>
      </c>
      <c r="C15" s="3">
        <v>1757</v>
      </c>
      <c r="E15" s="3" t="s">
        <v>96</v>
      </c>
      <c r="F15" s="3">
        <f>COUNTIF('Top 100 Market Cap'!$G$3:$G$102,E15)</f>
        <v>2</v>
      </c>
      <c r="G15" s="3">
        <f>SUMIF('Top 100 Market Cap'!$G$3:$G$102,E15,'Top 100 Market Cap'!$L$3:$L$102)</f>
        <v>598.52</v>
      </c>
    </row>
    <row r="16" spans="1:12" ht="24" customHeight="1">
      <c r="A16" s="3">
        <v>9</v>
      </c>
      <c r="B16" s="3" t="s">
        <v>153</v>
      </c>
      <c r="C16" s="3">
        <v>1679</v>
      </c>
      <c r="E16" s="3" t="s">
        <v>87</v>
      </c>
      <c r="F16" s="3">
        <f>COUNTIF('Top 100 Market Cap'!$G$3:$G$102,E16)</f>
        <v>48</v>
      </c>
      <c r="G16" s="3">
        <f>SUMIF('Top 100 Market Cap'!$G$3:$G$102,E16,'Top 100 Market Cap'!$L$3:$L$102)</f>
        <v>45332.449999999975</v>
      </c>
    </row>
    <row r="17" spans="1:12" ht="24" customHeight="1">
      <c r="A17" s="3">
        <v>10</v>
      </c>
      <c r="B17" s="3" t="s">
        <v>160</v>
      </c>
      <c r="C17" s="3">
        <v>1457</v>
      </c>
      <c r="E17" s="3" t="s">
        <v>101</v>
      </c>
      <c r="F17" s="3">
        <f>COUNTIF('Top 100 Market Cap'!$G$3:$G$102,E17)</f>
        <v>1</v>
      </c>
      <c r="G17" s="3">
        <f>SUMIF('Top 100 Market Cap'!$G$3:$G$102,E17,'Top 100 Market Cap'!$L$3:$L$102)</f>
        <v>250.33</v>
      </c>
    </row>
    <row r="18" spans="1:12" ht="24" customHeight="1"/>
    <row r="19" spans="1:12" ht="24" customHeight="1"/>
    <row r="20" spans="1:12" ht="24.75" customHeight="1">
      <c r="A20" s="33" t="s">
        <v>256</v>
      </c>
      <c r="B20" s="31"/>
      <c r="C20" s="31"/>
      <c r="D20" s="31"/>
      <c r="E20" s="31"/>
      <c r="F20" s="17"/>
      <c r="G20" s="17"/>
      <c r="H20" s="17"/>
      <c r="I20" s="17"/>
      <c r="J20" s="17"/>
      <c r="K20" s="17"/>
      <c r="L20" s="17"/>
    </row>
    <row r="21" spans="1:12" ht="24.75" customHeight="1">
      <c r="A21" s="2" t="s">
        <v>257</v>
      </c>
      <c r="B21" s="2" t="s">
        <v>258</v>
      </c>
      <c r="C21" s="2" t="s">
        <v>181</v>
      </c>
      <c r="D21" s="2" t="s">
        <v>58</v>
      </c>
      <c r="E21" s="1"/>
      <c r="F21" s="1"/>
      <c r="G21" s="1"/>
      <c r="H21" s="1"/>
      <c r="I21" s="1"/>
      <c r="J21" s="1"/>
      <c r="K21" s="1"/>
      <c r="L21" s="1"/>
    </row>
    <row r="22" spans="1:12" ht="24.75" customHeight="1">
      <c r="A22" s="24">
        <f>'Relationship Analysis'!A5</f>
        <v>95</v>
      </c>
      <c r="B22" s="25">
        <f>'Relationship Analysis'!B5</f>
        <v>0.28231382812546918</v>
      </c>
      <c r="C22" s="26">
        <f>'Relationship Analysis'!C5</f>
        <v>7.9701097550856956E-2</v>
      </c>
      <c r="D22" s="24" t="str">
        <f>'Relationship Analysis'!D5</f>
        <v>Weak positive</v>
      </c>
      <c r="E22" s="1"/>
      <c r="F22" s="1"/>
      <c r="G22" s="1"/>
      <c r="H22" s="1"/>
      <c r="I22" s="1"/>
      <c r="J22" s="1"/>
      <c r="K22" s="1"/>
      <c r="L22" s="1"/>
    </row>
    <row r="23" spans="1:12" ht="30" customHeight="1">
      <c r="A23" s="34" t="str">
        <f>"Finding: "&amp;D22&amp;" relationship. Market cap explains about "&amp;TEXT(C22,"0.0%")&amp;" of the variation in operating profit margin among matched companies."</f>
        <v>Finding: Weak positive relationship. Market cap explains about 8.0% of the variation in operating profit margin among matched companies.</v>
      </c>
      <c r="B23" s="31"/>
      <c r="C23" s="31"/>
      <c r="D23" s="31"/>
      <c r="E23" s="31"/>
      <c r="F23" s="1"/>
      <c r="G23" s="1"/>
      <c r="H23" s="1"/>
      <c r="I23" s="1"/>
      <c r="J23" s="1"/>
      <c r="K23" s="1"/>
      <c r="L23" s="1"/>
    </row>
    <row r="24" spans="1:12" ht="24.75" customHeight="1">
      <c r="A24" s="21"/>
      <c r="B24" s="21"/>
      <c r="C24" s="21"/>
      <c r="D24" s="21"/>
      <c r="E24" s="1"/>
      <c r="F24" s="1"/>
      <c r="G24" s="1"/>
      <c r="H24" s="1"/>
      <c r="I24" s="1"/>
      <c r="J24" s="1"/>
      <c r="K24" s="1"/>
      <c r="L24" s="1"/>
    </row>
    <row r="25" spans="1:12" ht="24.75" customHeight="1">
      <c r="A25" s="21"/>
      <c r="B25" s="21"/>
      <c r="C25" s="21"/>
      <c r="D25" s="21"/>
    </row>
    <row r="26" spans="1:12" ht="24.75" customHeight="1">
      <c r="A26" s="21"/>
      <c r="B26" s="21"/>
      <c r="C26" s="21"/>
      <c r="D26" s="21"/>
    </row>
    <row r="27" spans="1:12" ht="24.75" customHeight="1">
      <c r="A27" s="21"/>
      <c r="B27" s="21"/>
      <c r="C27" s="21"/>
      <c r="D27" s="21"/>
    </row>
    <row r="28" spans="1:12" ht="24.75" customHeight="1">
      <c r="A28" s="21"/>
      <c r="B28" s="21"/>
      <c r="C28" s="21"/>
      <c r="D28" s="21"/>
    </row>
    <row r="29" spans="1:12" ht="24.75" customHeight="1">
      <c r="A29" s="21"/>
      <c r="B29" s="21"/>
      <c r="C29" s="21"/>
      <c r="D29" s="21"/>
    </row>
    <row r="30" spans="1:12" ht="24.75" customHeight="1"/>
    <row r="31" spans="1:12" ht="24.75" customHeight="1">
      <c r="A31" s="17"/>
      <c r="B31" s="17"/>
      <c r="C31" s="17"/>
      <c r="D31" s="17"/>
    </row>
    <row r="32" spans="1:12" ht="24.75" customHeight="1">
      <c r="A32" s="2"/>
      <c r="B32" s="2"/>
      <c r="C32" s="2"/>
      <c r="D32" s="2"/>
    </row>
    <row r="33" spans="1:12" ht="24.75" customHeight="1">
      <c r="A33" s="24"/>
      <c r="B33" s="25"/>
      <c r="C33" s="25"/>
      <c r="D33" s="24"/>
    </row>
    <row r="34" spans="1:12" ht="24.75" customHeight="1"/>
    <row r="35" spans="1:12" ht="24.75" customHeight="1"/>
    <row r="36" spans="1:12" ht="24.75" customHeight="1">
      <c r="A36" s="35" t="s">
        <v>276</v>
      </c>
      <c r="B36" s="31"/>
      <c r="C36" s="31"/>
      <c r="D36" s="31"/>
      <c r="E36" s="31"/>
      <c r="F36" s="31"/>
      <c r="G36" s="31"/>
      <c r="H36" s="31"/>
      <c r="I36" s="31"/>
      <c r="J36" s="31"/>
      <c r="K36" s="31"/>
      <c r="L36" s="31"/>
    </row>
    <row r="37" spans="1:12" ht="24.75" customHeight="1">
      <c r="A37" s="36" t="s">
        <v>277</v>
      </c>
      <c r="B37" s="31"/>
      <c r="C37" s="31"/>
      <c r="D37" s="31"/>
      <c r="E37" s="31"/>
      <c r="F37" s="31"/>
      <c r="G37" s="31"/>
      <c r="H37" s="31"/>
      <c r="I37" s="31"/>
      <c r="J37" s="31"/>
      <c r="K37" s="31"/>
      <c r="L37" s="31"/>
    </row>
    <row r="38" spans="1:12" ht="24.75" customHeight="1">
      <c r="A38" s="31"/>
      <c r="B38" s="31"/>
      <c r="C38" s="31"/>
      <c r="D38" s="31"/>
      <c r="E38" s="31"/>
      <c r="F38" s="31"/>
      <c r="G38" s="31"/>
      <c r="H38" s="31"/>
      <c r="I38" s="31"/>
      <c r="J38" s="31"/>
      <c r="K38" s="31"/>
      <c r="L38" s="31"/>
    </row>
    <row r="39" spans="1:12" ht="24.75" customHeight="1">
      <c r="A39" s="31"/>
      <c r="B39" s="31"/>
      <c r="C39" s="31"/>
      <c r="D39" s="31"/>
      <c r="E39" s="31"/>
      <c r="F39" s="31"/>
      <c r="G39" s="31"/>
      <c r="H39" s="31"/>
      <c r="I39" s="31"/>
      <c r="J39" s="31"/>
      <c r="K39" s="31"/>
      <c r="L39" s="31"/>
    </row>
    <row r="40" spans="1:12" ht="24.75" customHeight="1">
      <c r="A40" s="31"/>
      <c r="B40" s="31"/>
      <c r="C40" s="31"/>
      <c r="D40" s="31"/>
      <c r="E40" s="31"/>
      <c r="F40" s="31"/>
      <c r="G40" s="31"/>
      <c r="H40" s="31"/>
      <c r="I40" s="31"/>
      <c r="J40" s="31"/>
      <c r="K40" s="31"/>
      <c r="L40" s="31"/>
    </row>
    <row r="41" spans="1:12" ht="24" customHeight="1"/>
    <row r="42" spans="1:12" ht="24" customHeight="1"/>
    <row r="43" spans="1:12" ht="24" customHeight="1"/>
    <row r="44" spans="1:12" ht="24" customHeight="1"/>
    <row r="45" spans="1:12" ht="24" customHeight="1"/>
    <row r="46" spans="1:12" ht="24" customHeight="1"/>
    <row r="47" spans="1:12" ht="24" customHeight="1"/>
    <row r="48" spans="1:12" ht="24" customHeight="1"/>
    <row r="49" ht="24" customHeight="1"/>
    <row r="50" ht="24" customHeight="1"/>
    <row r="51" ht="24" customHeight="1"/>
    <row r="52" ht="24" customHeight="1"/>
    <row r="53" ht="24" customHeight="1"/>
    <row r="54" ht="24"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0:E20"/>
    <mergeCell ref="A23:E23"/>
    <mergeCell ref="A36:L36"/>
    <mergeCell ref="A37:L40"/>
    <mergeCell ref="A2:L2"/>
  </mergeCell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000"/>
  <sheetViews>
    <sheetView zoomScaleNormal="100" workbookViewId="0">
      <selection activeCell="A3" sqref="A3"/>
    </sheetView>
  </sheetViews>
  <sheetFormatPr defaultColWidth="12.59765625" defaultRowHeight="15" customHeight="1"/>
  <cols>
    <col min="1" max="1" width="24.3984375" customWidth="1"/>
    <col min="2" max="2" width="10.59765625" customWidth="1"/>
    <col min="3" max="3" width="17.5" customWidth="1"/>
    <col min="4" max="4" width="16.796875" customWidth="1"/>
    <col min="5" max="5" width="37.19921875" customWidth="1"/>
    <col min="6" max="6" width="10.69921875" customWidth="1"/>
    <col min="7" max="7" width="14" customWidth="1"/>
    <col min="8" max="8" width="52.3984375" customWidth="1"/>
    <col min="9" max="26" width="14.3984375" customWidth="1"/>
  </cols>
  <sheetData>
    <row r="1" spans="1:8" ht="24" customHeight="1">
      <c r="A1" s="30" t="s">
        <v>175</v>
      </c>
      <c r="B1" s="31"/>
      <c r="C1" s="31"/>
      <c r="D1" s="31"/>
      <c r="E1" s="31"/>
      <c r="F1" s="31"/>
      <c r="G1" s="31"/>
      <c r="H1" s="31"/>
    </row>
    <row r="2" spans="1:8" ht="24" customHeight="1">
      <c r="A2" s="45" t="s">
        <v>177</v>
      </c>
      <c r="B2" s="46"/>
      <c r="C2" s="46"/>
      <c r="D2" s="46"/>
      <c r="E2" s="46"/>
      <c r="F2" s="46"/>
      <c r="G2" s="46"/>
      <c r="H2" s="46"/>
    </row>
    <row r="3" spans="1:8" ht="24" customHeight="1"/>
    <row r="4" spans="1:8" ht="24" customHeight="1">
      <c r="A4" s="2" t="s">
        <v>178</v>
      </c>
      <c r="B4" s="2" t="s">
        <v>180</v>
      </c>
      <c r="C4" s="2" t="s">
        <v>181</v>
      </c>
      <c r="D4" s="2" t="s">
        <v>183</v>
      </c>
      <c r="E4" s="2" t="s">
        <v>185</v>
      </c>
      <c r="F4" s="2" t="s">
        <v>186</v>
      </c>
      <c r="G4" s="2" t="s">
        <v>188</v>
      </c>
      <c r="H4" s="2" t="s">
        <v>189</v>
      </c>
    </row>
    <row r="5" spans="1:8" ht="24" customHeight="1">
      <c r="A5" s="12">
        <f>COUNT(B9:B103)</f>
        <v>95</v>
      </c>
      <c r="B5" s="13">
        <f>CORREL(B9:B103,C9:C103)</f>
        <v>0.28231382812546918</v>
      </c>
      <c r="C5" s="13">
        <f>B5^2</f>
        <v>7.9701097550856956E-2</v>
      </c>
      <c r="D5" s="12" t="str">
        <f>IF(ABS(B5)&lt;0.2,"Very weak "&amp;IF(B5&gt;=0,"positive","negative"),IF(ABS(B5)&lt;0.4,"Weak "&amp;IF(B5&gt;=0,"positive","negative"),IF(ABS(B5)&lt;0.6,"Moderate "&amp;IF(B5&gt;=0,"positive","negative"),IF(ABS(B5)&lt;0.8,"Strong "&amp;IF(B5&gt;=0,"positive","negative"),"Very strong "&amp;IF(B5&gt;=0,"positive","negative")))))</f>
        <v>Weak positive</v>
      </c>
      <c r="E5" s="14">
        <f>MAX(B9:B103)</f>
        <v>5306</v>
      </c>
      <c r="F5" s="15">
        <f>MAX(C9:C103)</f>
        <v>0.74849999999999994</v>
      </c>
      <c r="G5" s="15">
        <f>MIN(C9:C103)</f>
        <v>-0.22589999999999999</v>
      </c>
      <c r="H5" s="12">
        <v>5</v>
      </c>
    </row>
    <row r="6" spans="1:8" ht="24" customHeight="1"/>
    <row r="7" spans="1:8" ht="24" customHeight="1"/>
    <row r="8" spans="1:8" ht="24" customHeight="1">
      <c r="A8" s="2" t="s">
        <v>202</v>
      </c>
      <c r="B8" s="2" t="s">
        <v>11</v>
      </c>
      <c r="C8" s="2" t="s">
        <v>204</v>
      </c>
      <c r="D8" s="2" t="s">
        <v>1</v>
      </c>
      <c r="E8" s="2" t="s">
        <v>205</v>
      </c>
      <c r="G8" s="37" t="s">
        <v>206</v>
      </c>
      <c r="H8" s="31"/>
    </row>
    <row r="9" spans="1:8" ht="24" customHeight="1">
      <c r="A9" s="1" t="str">
        <f>'Top 100 Market Cap'!C3</f>
        <v>NVIDIA</v>
      </c>
      <c r="B9" s="16">
        <f>'Top 100 Market Cap'!L3</f>
        <v>5306</v>
      </c>
      <c r="C9" s="18">
        <f>'Top 100 Market Cap'!O3</f>
        <v>0.74849999999999994</v>
      </c>
      <c r="D9" s="1" t="str">
        <f>'Top 100 Market Cap'!G3</f>
        <v>Technology</v>
      </c>
      <c r="E9" s="19" t="str">
        <f>'Top 100 Market Cap'!T3</f>
        <v>https://companiesmarketcap.com/nvidia/operating-margin/</v>
      </c>
      <c r="G9" s="36" t="str">
        <f>"Pearson r = "&amp;TEXT(B5,"0.000")&amp;". This indicates a "&amp;LOWER(D5)&amp;" relationship between market capitalisation and operating profit margin in the matched Top 100 companies. "&amp;"R-squared = "&amp;TEXT(C5,"0.0%")&amp;", so market capitalisation alone explains only about "&amp;TEXT(C5,"0.0%")&amp;" of the observed variation in operating margin. Correlation does not imply causation."</f>
        <v>Pearson r = 0.282. This indicates a weak positive relationship between market capitalisation and operating profit margin in the matched Top 100 companies. R-squared = 8.0%, so market capitalisation alone explains only about 8.0% of the observed variation in operating margin. Correlation does not imply causation.</v>
      </c>
      <c r="H9" s="31"/>
    </row>
    <row r="10" spans="1:8" ht="24" customHeight="1">
      <c r="A10" s="1" t="str">
        <f>'Top 100 Market Cap'!C4</f>
        <v>Apple</v>
      </c>
      <c r="B10" s="16">
        <f>'Top 100 Market Cap'!L4</f>
        <v>4609</v>
      </c>
      <c r="C10" s="18">
        <f>'Top 100 Market Cap'!O4</f>
        <v>0.31890000000000002</v>
      </c>
      <c r="D10" s="1" t="str">
        <f>'Top 100 Market Cap'!G4</f>
        <v>Technology</v>
      </c>
      <c r="E10" s="19" t="str">
        <f>'Top 100 Market Cap'!T4</f>
        <v>https://companiesmarketcap.com/apple/operating-margin/</v>
      </c>
      <c r="G10" s="31"/>
      <c r="H10" s="31"/>
    </row>
    <row r="11" spans="1:8" ht="24" customHeight="1">
      <c r="A11" s="1" t="str">
        <f>'Top 100 Market Cap'!C5</f>
        <v>Alphabet (Google)</v>
      </c>
      <c r="B11" s="16">
        <f>'Top 100 Market Cap'!L5</f>
        <v>4096</v>
      </c>
      <c r="C11" s="18">
        <f>'Top 100 Market Cap'!O5</f>
        <v>0.46310000000000001</v>
      </c>
      <c r="D11" s="1" t="str">
        <f>'Top 100 Market Cap'!G5</f>
        <v>Technology</v>
      </c>
      <c r="E11" s="19" t="str">
        <f>'Top 100 Market Cap'!T5</f>
        <v>https://companiesmarketcap.com/alphabet-google/operating-margin/</v>
      </c>
      <c r="G11" s="31"/>
      <c r="H11" s="31"/>
    </row>
    <row r="12" spans="1:8" ht="24" customHeight="1">
      <c r="A12" s="1" t="str">
        <f>'Top 100 Market Cap'!C6</f>
        <v>Microsoft</v>
      </c>
      <c r="B12" s="16">
        <f>'Top 100 Market Cap'!L6</f>
        <v>3783</v>
      </c>
      <c r="C12" s="18">
        <f>'Top 100 Market Cap'!O6</f>
        <v>0.4854</v>
      </c>
      <c r="D12" s="1" t="str">
        <f>'Top 100 Market Cap'!G6</f>
        <v>Technology</v>
      </c>
      <c r="E12" s="19" t="str">
        <f>'Top 100 Market Cap'!T6</f>
        <v>https://companiesmarketcap.com/microsoft/operating-margin/</v>
      </c>
      <c r="G12" s="31"/>
      <c r="H12" s="31"/>
    </row>
    <row r="13" spans="1:8" ht="24" customHeight="1">
      <c r="A13" s="1" t="str">
        <f>'Top 100 Market Cap'!C7</f>
        <v>Amazon</v>
      </c>
      <c r="B13" s="16">
        <f>'Top 100 Market Cap'!L7</f>
        <v>2794</v>
      </c>
      <c r="C13" s="18">
        <f>'Top 100 Market Cap'!O7</f>
        <v>0.13570000000000002</v>
      </c>
      <c r="D13" s="1" t="str">
        <f>'Top 100 Market Cap'!G7</f>
        <v>Technology</v>
      </c>
      <c r="E13" s="19" t="str">
        <f>'Top 100 Market Cap'!T7</f>
        <v>https://companiesmarketcap.com/amazon/operating-margin/</v>
      </c>
      <c r="G13" s="31"/>
      <c r="H13" s="31"/>
    </row>
    <row r="14" spans="1:8" ht="24" customHeight="1">
      <c r="A14" s="1" t="str">
        <f>'Top 100 Market Cap'!C8</f>
        <v>TSMC</v>
      </c>
      <c r="B14" s="16">
        <f>'Top 100 Market Cap'!L8</f>
        <v>2155</v>
      </c>
      <c r="C14" s="18">
        <f>'Top 100 Market Cap'!O8</f>
        <v>0.53600000000000003</v>
      </c>
      <c r="D14" s="1" t="str">
        <f>'Top 100 Market Cap'!G8</f>
        <v>Technology</v>
      </c>
      <c r="E14" s="19" t="str">
        <f>'Top 100 Market Cap'!T8</f>
        <v>https://companiesmarketcap.com/tsmc/operating-margin/</v>
      </c>
    </row>
    <row r="15" spans="1:8" ht="24" customHeight="1">
      <c r="A15" s="1" t="str">
        <f>'Top 100 Market Cap'!C9</f>
        <v>SpaceX</v>
      </c>
      <c r="B15" s="16">
        <f>'Top 100 Market Cap'!L9</f>
        <v>1876</v>
      </c>
      <c r="C15" s="18">
        <f>'Top 100 Market Cap'!O9</f>
        <v>-0.22589999999999999</v>
      </c>
      <c r="D15" s="1" t="str">
        <f>'Top 100 Market Cap'!G9</f>
        <v>Technology</v>
      </c>
      <c r="E15" s="19" t="str">
        <f>'Top 100 Market Cap'!T9</f>
        <v>https://companiesmarketcap.com/spacex/operating-margin/</v>
      </c>
    </row>
    <row r="16" spans="1:8" ht="24" customHeight="1">
      <c r="A16" s="1" t="str">
        <f>'Top 100 Market Cap'!C10</f>
        <v>Broadcom</v>
      </c>
      <c r="B16" s="16">
        <f>'Top 100 Market Cap'!L10</f>
        <v>1757</v>
      </c>
      <c r="C16" s="18">
        <f>'Top 100 Market Cap'!O10</f>
        <v>0.44549999999999995</v>
      </c>
      <c r="D16" s="1" t="str">
        <f>'Top 100 Market Cap'!G10</f>
        <v>Technology</v>
      </c>
      <c r="E16" s="19" t="str">
        <f>'Top 100 Market Cap'!T10</f>
        <v>https://companiesmarketcap.com/broadcom/operating-margin/</v>
      </c>
    </row>
    <row r="17" spans="1:5" ht="24" customHeight="1">
      <c r="A17" s="1" t="str">
        <f>'Top 100 Market Cap'!C11</f>
        <v>Saudi Aramco</v>
      </c>
      <c r="B17" s="16">
        <f>'Top 100 Market Cap'!L11</f>
        <v>1679</v>
      </c>
      <c r="C17" s="18">
        <f>'Top 100 Market Cap'!O11</f>
        <v>0.42469999999999997</v>
      </c>
      <c r="D17" s="1" t="str">
        <f>'Top 100 Market Cap'!G11</f>
        <v>Energy</v>
      </c>
      <c r="E17" s="19" t="str">
        <f>'Top 100 Market Cap'!T11</f>
        <v>https://companiesmarketcap.com/saudi-aramco/operating-margin/</v>
      </c>
    </row>
    <row r="18" spans="1:5" ht="24" customHeight="1">
      <c r="A18" s="1" t="str">
        <f>'Top 100 Market Cap'!C12</f>
        <v>Meta Platforms (Facebook)</v>
      </c>
      <c r="B18" s="16">
        <f>'Top 100 Market Cap'!L12</f>
        <v>1457</v>
      </c>
      <c r="C18" s="18">
        <f>'Top 100 Market Cap'!O12</f>
        <v>0.42229999999999995</v>
      </c>
      <c r="D18" s="1" t="str">
        <f>'Top 100 Market Cap'!G12</f>
        <v>Technology</v>
      </c>
      <c r="E18" s="19" t="str">
        <f>'Top 100 Market Cap'!T12</f>
        <v>https://companiesmarketcap.com/meta-platforms/operating-margin/</v>
      </c>
    </row>
    <row r="19" spans="1:5" ht="24" customHeight="1">
      <c r="A19" s="1" t="str">
        <f>'Top 100 Market Cap'!C13</f>
        <v>Tesla</v>
      </c>
      <c r="B19" s="16">
        <f>'Top 100 Market Cap'!L13</f>
        <v>1448</v>
      </c>
      <c r="C19" s="18">
        <f>'Top 100 Market Cap'!O13</f>
        <v>5.9000000000000004E-2</v>
      </c>
      <c r="D19" s="1" t="str">
        <f>'Top 100 Market Cap'!G13</f>
        <v>Technology</v>
      </c>
      <c r="E19" s="19" t="str">
        <f>'Top 100 Market Cap'!T13</f>
        <v>https://companiesmarketcap.com/tesla/operating-margin/</v>
      </c>
    </row>
    <row r="20" spans="1:5" ht="24" customHeight="1">
      <c r="A20" s="1" t="str">
        <f>'Top 100 Market Cap'!C14</f>
        <v>Samsung</v>
      </c>
      <c r="B20" s="16">
        <f>'Top 100 Market Cap'!L14</f>
        <v>1248</v>
      </c>
      <c r="C20" s="18">
        <f>'Top 100 Market Cap'!O14</f>
        <v>0.25530000000000003</v>
      </c>
      <c r="D20" s="1" t="str">
        <f>'Top 100 Market Cap'!G14</f>
        <v>Technology</v>
      </c>
      <c r="E20" s="19" t="str">
        <f>'Top 100 Market Cap'!T14</f>
        <v>https://companiesmarketcap.com/samsung/operating-margin/</v>
      </c>
    </row>
    <row r="21" spans="1:5" ht="24" customHeight="1">
      <c r="A21" s="1" t="str">
        <f>'Top 100 Market Cap'!C15</f>
        <v>Berkshire Hathaway</v>
      </c>
      <c r="B21" s="16">
        <f>'Top 100 Market Cap'!L15</f>
        <v>1078</v>
      </c>
      <c r="C21" s="18">
        <f>'Top 100 Market Cap'!O15</f>
        <v>0.16010000000000002</v>
      </c>
      <c r="D21" s="1" t="str">
        <f>'Top 100 Market Cap'!G15</f>
        <v>Financials</v>
      </c>
      <c r="E21" s="19" t="str">
        <f>'Top 100 Market Cap'!T15</f>
        <v>https://companiesmarketcap.com/berkshire-hathaway/operating-margin/</v>
      </c>
    </row>
    <row r="22" spans="1:5" ht="24" customHeight="1">
      <c r="A22" s="1" t="str">
        <f>'Top 100 Market Cap'!C16</f>
        <v>Micron Technology</v>
      </c>
      <c r="B22" s="16">
        <f>'Top 100 Market Cap'!L16</f>
        <v>1066</v>
      </c>
      <c r="C22" s="18">
        <f>'Top 100 Market Cap'!O16</f>
        <v>0.25819999999999999</v>
      </c>
      <c r="D22" s="1" t="str">
        <f>'Top 100 Market Cap'!G16</f>
        <v>Technology</v>
      </c>
      <c r="E22" s="19" t="str">
        <f>'Top 100 Market Cap'!T16</f>
        <v>https://companiesmarketcap.com/micron-technology/operating-margin/</v>
      </c>
    </row>
    <row r="23" spans="1:5" ht="24" customHeight="1">
      <c r="A23" s="1" t="str">
        <f>'Top 100 Market Cap'!C17</f>
        <v>Eli Lilly</v>
      </c>
      <c r="B23" s="16">
        <f>'Top 100 Market Cap'!L17</f>
        <v>1034</v>
      </c>
      <c r="C23" s="18">
        <f>'Top 100 Market Cap'!O17</f>
        <v>0.43070000000000003</v>
      </c>
      <c r="D23" s="1" t="str">
        <f>'Top 100 Market Cap'!G17</f>
        <v>Technology</v>
      </c>
      <c r="E23" s="19" t="str">
        <f>'Top 100 Market Cap'!T17</f>
        <v>https://companiesmarketcap.com/eli-lilly/operating-margin/</v>
      </c>
    </row>
    <row r="24" spans="1:5" ht="24" customHeight="1">
      <c r="A24" s="1" t="str">
        <f>'Top 100 Market Cap'!C18</f>
        <v>JPMorgan Chase</v>
      </c>
      <c r="B24" s="16">
        <f>'Top 100 Market Cap'!L18</f>
        <v>944.99</v>
      </c>
      <c r="C24" s="18">
        <f>'Top 100 Market Cap'!O18</f>
        <v>0.39939999999999998</v>
      </c>
      <c r="D24" s="1" t="str">
        <f>'Top 100 Market Cap'!G18</f>
        <v>Financials</v>
      </c>
      <c r="E24" s="19" t="str">
        <f>'Top 100 Market Cap'!T18</f>
        <v>https://companiesmarketcap.com/jp-morgan-chase/operating-margin/</v>
      </c>
    </row>
    <row r="25" spans="1:5" ht="24" customHeight="1">
      <c r="A25" s="1" t="str">
        <f>'Top 100 Market Cap'!C19</f>
        <v>SK Hynix</v>
      </c>
      <c r="B25" s="16">
        <f>'Top 100 Market Cap'!L19</f>
        <v>868.67</v>
      </c>
      <c r="C25" s="18">
        <f>'Top 100 Market Cap'!O19</f>
        <v>0.7087</v>
      </c>
      <c r="D25" s="1" t="str">
        <f>'Top 100 Market Cap'!G19</f>
        <v>Technology</v>
      </c>
      <c r="E25" s="19" t="str">
        <f>'Top 100 Market Cap'!T19</f>
        <v>https://companiesmarketcap.com/sk-hynix/operating-margin/</v>
      </c>
    </row>
    <row r="26" spans="1:5" ht="24" customHeight="1">
      <c r="A26" s="1" t="str">
        <f>'Top 100 Market Cap'!C20</f>
        <v>Walmart</v>
      </c>
      <c r="B26" s="16">
        <f>'Top 100 Market Cap'!L20</f>
        <v>835.12</v>
      </c>
      <c r="C26" s="18">
        <f>'Top 100 Market Cap'!O20</f>
        <v>4.1299999999999996E-2</v>
      </c>
      <c r="D26" s="1" t="str">
        <f>'Top 100 Market Cap'!G20</f>
        <v>Consumer Discretionary</v>
      </c>
      <c r="E26" s="19" t="str">
        <f>'Top 100 Market Cap'!T20</f>
        <v>https://companiesmarketcap.com/walmart/operating-margin/</v>
      </c>
    </row>
    <row r="27" spans="1:5" ht="24" customHeight="1">
      <c r="A27" s="1" t="str">
        <f>'Top 100 Market Cap'!C21</f>
        <v>AMD</v>
      </c>
      <c r="B27" s="16">
        <f>'Top 100 Market Cap'!L21</f>
        <v>764.34</v>
      </c>
      <c r="C27" s="18">
        <f>'Top 100 Market Cap'!O21</f>
        <v>0.1195</v>
      </c>
      <c r="D27" s="1" t="str">
        <f>'Top 100 Market Cap'!G21</f>
        <v>Technology</v>
      </c>
      <c r="E27" s="19" t="str">
        <f>'Top 100 Market Cap'!T21</f>
        <v>https://companiesmarketcap.com/amd/operating-margin/</v>
      </c>
    </row>
    <row r="28" spans="1:5" ht="24" customHeight="1">
      <c r="A28" s="1" t="str">
        <f>'Top 100 Market Cap'!C22</f>
        <v>Visa</v>
      </c>
      <c r="B28" s="16">
        <f>'Top 100 Market Cap'!L22</f>
        <v>709.08</v>
      </c>
      <c r="C28" s="18">
        <f>'Top 100 Market Cap'!O22</f>
        <v>0.61480000000000001</v>
      </c>
      <c r="D28" s="1" t="str">
        <f>'Top 100 Market Cap'!G22</f>
        <v>Financials</v>
      </c>
      <c r="E28" s="19" t="str">
        <f>'Top 100 Market Cap'!T22</f>
        <v>https://companiesmarketcap.com/visa/operating-margin/</v>
      </c>
    </row>
    <row r="29" spans="1:5" ht="24" customHeight="1">
      <c r="A29" s="1" t="str">
        <f>'Top 100 Market Cap'!C23</f>
        <v>Exxon Mobil</v>
      </c>
      <c r="B29" s="16">
        <f>'Top 100 Market Cap'!L23</f>
        <v>659.26</v>
      </c>
      <c r="C29" s="18">
        <f>'Top 100 Market Cap'!O23</f>
        <v>0.11230000000000001</v>
      </c>
      <c r="D29" s="1" t="str">
        <f>'Top 100 Market Cap'!G23</f>
        <v>Energy</v>
      </c>
      <c r="E29" s="19" t="str">
        <f>'Top 100 Market Cap'!T23</f>
        <v>https://companiesmarketcap.com/exxon-mobil/operating-margin/</v>
      </c>
    </row>
    <row r="30" spans="1:5" ht="24" customHeight="1">
      <c r="A30" s="1" t="str">
        <f>'Top 100 Market Cap'!C24</f>
        <v>ASML</v>
      </c>
      <c r="B30" s="16">
        <f>'Top 100 Market Cap'!L24</f>
        <v>649.33000000000004</v>
      </c>
      <c r="C30" s="18">
        <f>'Top 100 Market Cap'!O24</f>
        <v>0.34909999999999997</v>
      </c>
      <c r="D30" s="1" t="str">
        <f>'Top 100 Market Cap'!G24</f>
        <v>Technology</v>
      </c>
      <c r="E30" s="19" t="str">
        <f>'Top 100 Market Cap'!T24</f>
        <v>https://companiesmarketcap.com/asml/operating-margin/</v>
      </c>
    </row>
    <row r="31" spans="1:5" ht="24" customHeight="1">
      <c r="A31" s="1" t="str">
        <f>'Top 100 Market Cap'!C25</f>
        <v>Johnson &amp; Johnson</v>
      </c>
      <c r="B31" s="16">
        <f>'Top 100 Market Cap'!L25</f>
        <v>641.34</v>
      </c>
      <c r="C31" s="18">
        <f>'Top 100 Market Cap'!O25</f>
        <v>0.3458</v>
      </c>
      <c r="D31" s="1" t="str">
        <f>'Top 100 Market Cap'!G25</f>
        <v>Technology</v>
      </c>
      <c r="E31" s="19" t="str">
        <f>'Top 100 Market Cap'!T25</f>
        <v>https://companiesmarketcap.com/johnson-and-johnson/operating-margin/</v>
      </c>
    </row>
    <row r="32" spans="1:5" ht="24" customHeight="1">
      <c r="A32" s="1" t="str">
        <f>'Top 100 Market Cap'!C26</f>
        <v>CXMT</v>
      </c>
      <c r="B32" s="16">
        <f>'Top 100 Market Cap'!L26</f>
        <v>611.37</v>
      </c>
      <c r="C32" s="18">
        <f>'Top 100 Market Cap'!O26</f>
        <v>0.43189999999999995</v>
      </c>
      <c r="D32" s="1" t="str">
        <f>'Top 100 Market Cap'!G26</f>
        <v>Technology</v>
      </c>
      <c r="E32" s="19" t="str">
        <f>'Top 100 Market Cap'!T26</f>
        <v>https://companiesmarketcap.com/cxmt/operating-margin/</v>
      </c>
    </row>
    <row r="33" spans="1:5" ht="24" customHeight="1">
      <c r="A33" s="1" t="str">
        <f>'Top 100 Market Cap'!C27</f>
        <v>Tencent</v>
      </c>
      <c r="B33" s="16">
        <f>'Top 100 Market Cap'!L27</f>
        <v>516.34</v>
      </c>
      <c r="C33" s="18">
        <f>'Top 100 Market Cap'!O27</f>
        <v>0.36869999999999997</v>
      </c>
      <c r="D33" s="1" t="str">
        <f>'Top 100 Market Cap'!G27</f>
        <v>Technology</v>
      </c>
      <c r="E33" s="19" t="str">
        <f>'Top 100 Market Cap'!T27</f>
        <v>https://companiesmarketcap.com/tencent/operating-margin/</v>
      </c>
    </row>
    <row r="34" spans="1:5" ht="24" customHeight="1">
      <c r="A34" s="1" t="str">
        <f>'Top 100 Market Cap'!C28</f>
        <v>Mastercard</v>
      </c>
      <c r="B34" s="16">
        <f>'Top 100 Market Cap'!L28</f>
        <v>515.75</v>
      </c>
      <c r="C34" s="18">
        <f>'Top 100 Market Cap'!O28</f>
        <v>0.57040000000000002</v>
      </c>
      <c r="D34" s="1" t="str">
        <f>'Top 100 Market Cap'!G28</f>
        <v>Financials</v>
      </c>
      <c r="E34" s="19" t="str">
        <f>'Top 100 Market Cap'!T28</f>
        <v>https://companiesmarketcap.com/mastercard/operating-margin/</v>
      </c>
    </row>
    <row r="35" spans="1:5" ht="24" customHeight="1">
      <c r="A35" s="1" t="str">
        <f>'Top 100 Market Cap'!C29</f>
        <v>Intel</v>
      </c>
      <c r="B35" s="16">
        <f>'Top 100 Market Cap'!L29</f>
        <v>472.57</v>
      </c>
      <c r="C35" s="18">
        <f>'Top 100 Market Cap'!O29</f>
        <v>2.9399999999999999E-2</v>
      </c>
      <c r="D35" s="1" t="str">
        <f>'Top 100 Market Cap'!G29</f>
        <v>Technology</v>
      </c>
      <c r="E35" s="19" t="str">
        <f>'Top 100 Market Cap'!T29</f>
        <v>https://companiesmarketcap.com/intel/operating-margin/</v>
      </c>
    </row>
    <row r="36" spans="1:5" ht="24" customHeight="1">
      <c r="A36" s="1" t="str">
        <f>'Top 100 Market Cap'!C30</f>
        <v>AbbVie</v>
      </c>
      <c r="B36" s="16">
        <f>'Top 100 Market Cap'!L30</f>
        <v>455.42</v>
      </c>
      <c r="C36" s="18">
        <f>'Top 100 Market Cap'!O30</f>
        <v>9.5100000000000004E-2</v>
      </c>
      <c r="D36" s="1" t="str">
        <f>'Top 100 Market Cap'!G30</f>
        <v>Technology</v>
      </c>
      <c r="E36" s="19" t="str">
        <f>'Top 100 Market Cap'!T30</f>
        <v>https://companiesmarketcap.com/abbvie/operating-margin/</v>
      </c>
    </row>
    <row r="37" spans="1:5" ht="15.75" customHeight="1">
      <c r="A37" s="1" t="str">
        <f>'Top 100 Market Cap'!C31</f>
        <v>Palantir</v>
      </c>
      <c r="B37" s="16">
        <f>'Top 100 Market Cap'!L31</f>
        <v>449.94</v>
      </c>
      <c r="C37" s="18">
        <f>'Top 100 Market Cap'!O31</f>
        <v>0.44450000000000001</v>
      </c>
      <c r="D37" s="1" t="str">
        <f>'Top 100 Market Cap'!G31</f>
        <v>Technology</v>
      </c>
      <c r="E37" s="19" t="str">
        <f>'Top 100 Market Cap'!T31</f>
        <v>https://companiesmarketcap.com/palantir/operating-margin/</v>
      </c>
    </row>
    <row r="38" spans="1:5" ht="15.75" customHeight="1">
      <c r="A38" s="1" t="str">
        <f>'Top 100 Market Cap'!C32</f>
        <v>Cisco</v>
      </c>
      <c r="B38" s="16">
        <f>'Top 100 Market Cap'!L32</f>
        <v>436.49</v>
      </c>
      <c r="C38" s="18">
        <f>'Top 100 Market Cap'!O32</f>
        <v>0.19589999999999999</v>
      </c>
      <c r="D38" s="1" t="str">
        <f>'Top 100 Market Cap'!G32</f>
        <v>Technology</v>
      </c>
      <c r="E38" s="19" t="str">
        <f>'Top 100 Market Cap'!T32</f>
        <v>https://companiesmarketcap.com/cisco/operating-margin/</v>
      </c>
    </row>
    <row r="39" spans="1:5" ht="15.75" customHeight="1">
      <c r="A39" s="1" t="str">
        <f>'Top 100 Market Cap'!C33</f>
        <v>Bank of America</v>
      </c>
      <c r="B39" s="16">
        <f>'Top 100 Market Cap'!L33</f>
        <v>432.95</v>
      </c>
      <c r="C39" s="18">
        <f>'Top 100 Market Cap'!O33</f>
        <v>0.34460000000000002</v>
      </c>
      <c r="D39" s="1" t="str">
        <f>'Top 100 Market Cap'!G33</f>
        <v>Financials</v>
      </c>
      <c r="E39" s="19" t="str">
        <f>'Top 100 Market Cap'!T33</f>
        <v>https://companiesmarketcap.com/bank-of-america/operating-margin/</v>
      </c>
    </row>
    <row r="40" spans="1:5" ht="15.75" customHeight="1">
      <c r="A40" s="1" t="str">
        <f>'Top 100 Market Cap'!C34</f>
        <v>Oracle</v>
      </c>
      <c r="B40" s="16">
        <f>'Top 100 Market Cap'!L34</f>
        <v>431.29</v>
      </c>
      <c r="C40" s="18">
        <f>'Top 100 Market Cap'!O34</f>
        <v>0.2903</v>
      </c>
      <c r="D40" s="1" t="str">
        <f>'Top 100 Market Cap'!G34</f>
        <v>Technology</v>
      </c>
      <c r="E40" s="19" t="str">
        <f>'Top 100 Market Cap'!T34</f>
        <v>https://companiesmarketcap.com/oracle/operating-margin/</v>
      </c>
    </row>
    <row r="41" spans="1:5" ht="15.75" customHeight="1">
      <c r="A41" s="1" t="str">
        <f>'Top 100 Market Cap'!C35</f>
        <v>China Construction Bank</v>
      </c>
      <c r="B41" s="16">
        <f>'Top 100 Market Cap'!L35</f>
        <v>427.48</v>
      </c>
      <c r="C41" s="18">
        <f>'Top 100 Market Cap'!O35</f>
        <v>0.47</v>
      </c>
      <c r="D41" s="1" t="str">
        <f>'Top 100 Market Cap'!G35</f>
        <v>Financials</v>
      </c>
      <c r="E41" s="19" t="str">
        <f>'Top 100 Market Cap'!T35</f>
        <v>https://companiesmarketcap.com/china-construction-bank/operating-margin/</v>
      </c>
    </row>
    <row r="42" spans="1:5" ht="15.75" customHeight="1">
      <c r="A42" s="1" t="str">
        <f>'Top 100 Market Cap'!C36</f>
        <v>Costco</v>
      </c>
      <c r="B42" s="16">
        <f>'Top 100 Market Cap'!L36</f>
        <v>418.36</v>
      </c>
      <c r="C42" s="18">
        <f>'Top 100 Market Cap'!O36</f>
        <v>3.9300000000000002E-2</v>
      </c>
      <c r="D42" s="1" t="str">
        <f>'Top 100 Market Cap'!G36</f>
        <v>Consumer Discretionary</v>
      </c>
      <c r="E42" s="19" t="str">
        <f>'Top 100 Market Cap'!T36</f>
        <v>https://companiesmarketcap.com/costco/operating-margin/</v>
      </c>
    </row>
    <row r="43" spans="1:5" ht="15.75" customHeight="1">
      <c r="A43" s="1" t="str">
        <f>'Top 100 Market Cap'!C37</f>
        <v>Chevron</v>
      </c>
      <c r="B43" s="16">
        <f>'Top 100 Market Cap'!L37</f>
        <v>403.25</v>
      </c>
      <c r="C43" s="18">
        <f>'Top 100 Market Cap'!O37</f>
        <v>0.10460000000000001</v>
      </c>
      <c r="D43" s="1" t="str">
        <f>'Top 100 Market Cap'!G37</f>
        <v>Energy</v>
      </c>
      <c r="E43" s="19" t="str">
        <f>'Top 100 Market Cap'!T37</f>
        <v>https://companiesmarketcap.com/chevron/operating-margin/</v>
      </c>
    </row>
    <row r="44" spans="1:5" ht="15.75" customHeight="1">
      <c r="A44" s="1" t="str">
        <f>'Top 100 Market Cap'!C38</f>
        <v>Coca-Cola</v>
      </c>
      <c r="B44" s="16">
        <f>'Top 100 Market Cap'!L38</f>
        <v>382.15</v>
      </c>
      <c r="C44" s="18">
        <f>'Top 100 Market Cap'!O38</f>
        <v>0.3337</v>
      </c>
      <c r="D44" s="1" t="str">
        <f>'Top 100 Market Cap'!G38</f>
        <v>Consumer Staples</v>
      </c>
      <c r="E44" s="19" t="str">
        <f>'Top 100 Market Cap'!T38</f>
        <v>https://companiesmarketcap.com/coca-cola/operating-margin/</v>
      </c>
    </row>
    <row r="45" spans="1:5" ht="15.75" customHeight="1">
      <c r="A45" s="1" t="str">
        <f>'Top 100 Market Cap'!C39</f>
        <v>Lam Research</v>
      </c>
      <c r="B45" s="16">
        <f>'Top 100 Market Cap'!L39</f>
        <v>376.17</v>
      </c>
      <c r="C45" s="18">
        <f>'Top 100 Market Cap'!O39</f>
        <v>0.34520000000000001</v>
      </c>
      <c r="D45" s="1" t="str">
        <f>'Top 100 Market Cap'!G39</f>
        <v>Technology</v>
      </c>
      <c r="E45" s="19" t="str">
        <f>'Top 100 Market Cap'!T39</f>
        <v>https://companiesmarketcap.com/lam-research/operating-margin/</v>
      </c>
    </row>
    <row r="46" spans="1:5" ht="15.75" customHeight="1">
      <c r="A46" s="1" t="str">
        <f>'Top 100 Market Cap'!C40</f>
        <v>Caterpillar</v>
      </c>
      <c r="B46" s="16">
        <f>'Top 100 Market Cap'!L40</f>
        <v>365.84</v>
      </c>
      <c r="C46" s="18">
        <f>'Top 100 Market Cap'!O40</f>
        <v>0.17069999999999999</v>
      </c>
      <c r="D46" s="1" t="str">
        <f>'Top 100 Market Cap'!G40</f>
        <v>Other</v>
      </c>
      <c r="E46" s="19" t="str">
        <f>'Top 100 Market Cap'!T40</f>
        <v>https://companiesmarketcap.com/caterpillar/operating-margin/</v>
      </c>
    </row>
    <row r="47" spans="1:5" ht="15.75" customHeight="1">
      <c r="A47" s="1" t="str">
        <f>'Top 100 Market Cap'!C41</f>
        <v>Merck</v>
      </c>
      <c r="B47" s="16">
        <f>'Top 100 Market Cap'!L41</f>
        <v>365.65</v>
      </c>
      <c r="C47" s="18">
        <f>'Top 100 Market Cap'!O41</f>
        <v>0.32400000000000001</v>
      </c>
      <c r="D47" s="1" t="str">
        <f>'Top 100 Market Cap'!G41</f>
        <v>Technology</v>
      </c>
      <c r="E47" s="19" t="str">
        <f>'Top 100 Market Cap'!T41</f>
        <v>https://companiesmarketcap.com/merck/operating-margin/</v>
      </c>
    </row>
    <row r="48" spans="1:5" ht="15.75" customHeight="1">
      <c r="A48" s="1" t="str">
        <f>'Top 100 Market Cap'!C42</f>
        <v>Applied Materials</v>
      </c>
      <c r="B48" s="16">
        <f>'Top 100 Market Cap'!L42</f>
        <v>362.83</v>
      </c>
      <c r="C48" s="18">
        <f>'Top 100 Market Cap'!O42</f>
        <v>0.32679999999999998</v>
      </c>
      <c r="D48" s="1" t="str">
        <f>'Top 100 Market Cap'!G42</f>
        <v>Technology</v>
      </c>
      <c r="E48" s="19" t="str">
        <f>'Top 100 Market Cap'!T42</f>
        <v>https://companiesmarketcap.com/applied-materials/operating-margin/</v>
      </c>
    </row>
    <row r="49" spans="1:5" ht="15.75" customHeight="1">
      <c r="A49" s="1" t="str">
        <f>'Top 100 Market Cap'!C43</f>
        <v>Agricultural Bank of China</v>
      </c>
      <c r="B49" s="16">
        <f>'Top 100 Market Cap'!L43</f>
        <v>361.05</v>
      </c>
      <c r="C49" s="18">
        <f>'Top 100 Market Cap'!O43</f>
        <v>0.4365</v>
      </c>
      <c r="D49" s="1" t="str">
        <f>'Top 100 Market Cap'!G43</f>
        <v>Financials</v>
      </c>
      <c r="E49" s="19" t="str">
        <f>'Top 100 Market Cap'!T43</f>
        <v>https://companiesmarketcap.com/agricultural-bank-of-china/operating-margin/</v>
      </c>
    </row>
    <row r="50" spans="1:5" ht="15.75" customHeight="1">
      <c r="A50" s="1" t="str">
        <f>'Top 100 Market Cap'!C44</f>
        <v>Roche</v>
      </c>
      <c r="B50" s="16">
        <f>'Top 100 Market Cap'!L44</f>
        <v>355.34</v>
      </c>
      <c r="C50" s="18">
        <f>'Top 100 Market Cap'!O44</f>
        <v>0.26780000000000004</v>
      </c>
      <c r="D50" s="1" t="str">
        <f>'Top 100 Market Cap'!G44</f>
        <v>Technology</v>
      </c>
      <c r="E50" s="19" t="str">
        <f>'Top 100 Market Cap'!T44</f>
        <v>https://companiesmarketcap.com/roche/operating-margin/</v>
      </c>
    </row>
    <row r="51" spans="1:5" ht="15.75" customHeight="1">
      <c r="A51" s="1" t="str">
        <f>'Top 100 Market Cap'!C45</f>
        <v>HSBC</v>
      </c>
      <c r="B51" s="16">
        <f>'Top 100 Market Cap'!L45</f>
        <v>352.76</v>
      </c>
      <c r="C51" s="18">
        <f>'Top 100 Market Cap'!O45</f>
        <v>0.41149999999999998</v>
      </c>
      <c r="D51" s="1" t="str">
        <f>'Top 100 Market Cap'!G45</f>
        <v>Financials</v>
      </c>
      <c r="E51" s="19" t="str">
        <f>'Top 100 Market Cap'!T45</f>
        <v>https://companiesmarketcap.com/hsbc/operating-margin/</v>
      </c>
    </row>
    <row r="52" spans="1:5" ht="15.75" customHeight="1">
      <c r="A52" s="1" t="str">
        <f>'Top 100 Market Cap'!C46</f>
        <v>UnitedHealth</v>
      </c>
      <c r="B52" s="16">
        <f>'Top 100 Market Cap'!L46</f>
        <v>349.97</v>
      </c>
      <c r="C52" s="18">
        <f>'Top 100 Market Cap'!O46</f>
        <v>3.2300000000000002E-2</v>
      </c>
      <c r="D52" s="1" t="str">
        <f>'Top 100 Market Cap'!G46</f>
        <v>Financials</v>
      </c>
      <c r="E52" s="19" t="str">
        <f>'Top 100 Market Cap'!T46</f>
        <v>https://companiesmarketcap.com/united-health/operating-margin/</v>
      </c>
    </row>
    <row r="53" spans="1:5" ht="15.75" customHeight="1">
      <c r="A53" s="1" t="str">
        <f>'Top 100 Market Cap'!C47</f>
        <v>General Electric</v>
      </c>
      <c r="B53" s="16">
        <f>'Top 100 Market Cap'!L47</f>
        <v>348.6</v>
      </c>
      <c r="C53" s="18">
        <f>'Top 100 Market Cap'!O47</f>
        <v>0.218</v>
      </c>
      <c r="D53" s="1" t="str">
        <f>'Top 100 Market Cap'!G47</f>
        <v>Industrials</v>
      </c>
      <c r="E53" s="19" t="str">
        <f>'Top 100 Market Cap'!T47</f>
        <v>https://companiesmarketcap.com/general-electric/operating-margin/</v>
      </c>
    </row>
    <row r="54" spans="1:5" ht="15.75" customHeight="1">
      <c r="A54" s="1" t="str">
        <f>'Top 100 Market Cap'!C49</f>
        <v>Netflix</v>
      </c>
      <c r="B54" s="16">
        <f>'Top 100 Market Cap'!L49</f>
        <v>338.75</v>
      </c>
      <c r="C54" s="18">
        <f>'Top 100 Market Cap'!O49</f>
        <v>0.28149999999999997</v>
      </c>
      <c r="D54" s="1" t="str">
        <f>'Top 100 Market Cap'!G49</f>
        <v>Technology</v>
      </c>
      <c r="E54" s="19" t="str">
        <f>'Top 100 Market Cap'!T49</f>
        <v>https://companiesmarketcap.com/netflix/operating-margin/</v>
      </c>
    </row>
    <row r="55" spans="1:5" ht="15.75" customHeight="1">
      <c r="A55" s="1" t="str">
        <f>'Top 100 Market Cap'!C50</f>
        <v>Procter &amp; Gamble</v>
      </c>
      <c r="B55" s="16">
        <f>'Top 100 Market Cap'!L50</f>
        <v>338.11</v>
      </c>
      <c r="C55" s="18">
        <f>'Top 100 Market Cap'!O50</f>
        <v>0.23920000000000002</v>
      </c>
      <c r="D55" s="1" t="str">
        <f>'Top 100 Market Cap'!G50</f>
        <v>Consumer Discretionary</v>
      </c>
      <c r="E55" s="19" t="str">
        <f>'Top 100 Market Cap'!T50</f>
        <v>https://companiesmarketcap.com/procter-and-gamble/operating-margin/</v>
      </c>
    </row>
    <row r="56" spans="1:5" ht="15.75" customHeight="1">
      <c r="A56" s="1" t="str">
        <f>'Top 100 Market Cap'!C51</f>
        <v>Morgan Stanley</v>
      </c>
      <c r="B56" s="16">
        <f>'Top 100 Market Cap'!L51</f>
        <v>335.23</v>
      </c>
      <c r="C56" s="18">
        <f>'Top 100 Market Cap'!O51</f>
        <v>0.34049999999999997</v>
      </c>
      <c r="D56" s="1" t="str">
        <f>'Top 100 Market Cap'!G51</f>
        <v>Financials</v>
      </c>
      <c r="E56" s="19" t="str">
        <f>'Top 100 Market Cap'!T51</f>
        <v>https://companiesmarketcap.com/morgan-stanley/operating-margin/</v>
      </c>
    </row>
    <row r="57" spans="1:5" ht="15.75" customHeight="1">
      <c r="A57" s="1" t="str">
        <f>'Top 100 Market Cap'!C52</f>
        <v>Home Depot</v>
      </c>
      <c r="B57" s="16">
        <f>'Top 100 Market Cap'!L52</f>
        <v>327.26</v>
      </c>
      <c r="C57" s="18">
        <f>'Top 100 Market Cap'!O52</f>
        <v>0.11289999999999999</v>
      </c>
      <c r="D57" s="1" t="str">
        <f>'Top 100 Market Cap'!G52</f>
        <v>Consumer Discretionary</v>
      </c>
      <c r="E57" s="19" t="str">
        <f>'Top 100 Market Cap'!T52</f>
        <v>https://companiesmarketcap.com/home-depot/operating-margin/</v>
      </c>
    </row>
    <row r="58" spans="1:5" ht="15.75" customHeight="1">
      <c r="A58" s="1" t="str">
        <f>'Top 100 Market Cap'!C53</f>
        <v>Bank of China</v>
      </c>
      <c r="B58" s="16">
        <f>'Top 100 Market Cap'!L53</f>
        <v>312.18</v>
      </c>
      <c r="C58" s="18">
        <f>'Top 100 Market Cap'!O53</f>
        <v>0.45090000000000002</v>
      </c>
      <c r="D58" s="1" t="str">
        <f>'Top 100 Market Cap'!G53</f>
        <v>Financials</v>
      </c>
      <c r="E58" s="19" t="str">
        <f>'Top 100 Market Cap'!T53</f>
        <v>https://companiesmarketcap.com/bank-of-china/operating-margin/</v>
      </c>
    </row>
    <row r="59" spans="1:5" ht="15.75" customHeight="1">
      <c r="A59" s="1" t="str">
        <f>'Top 100 Market Cap'!C54</f>
        <v>Palo Alto Networks</v>
      </c>
      <c r="B59" s="16">
        <f>'Top 100 Market Cap'!L54</f>
        <v>310.83999999999997</v>
      </c>
      <c r="C59" s="18">
        <f>'Top 100 Market Cap'!O54</f>
        <v>0.13170000000000001</v>
      </c>
      <c r="D59" s="1" t="str">
        <f>'Top 100 Market Cap'!G54</f>
        <v>Technology</v>
      </c>
      <c r="E59" s="19" t="str">
        <f>'Top 100 Market Cap'!T54</f>
        <v>https://companiesmarketcap.com/palo-alto-networks/operating-margin/</v>
      </c>
    </row>
    <row r="60" spans="1:5" ht="15.75" customHeight="1">
      <c r="A60" s="1" t="str">
        <f>'Top 100 Market Cap'!C55</f>
        <v>Dell</v>
      </c>
      <c r="B60" s="16">
        <f>'Top 100 Market Cap'!L55</f>
        <v>300.17</v>
      </c>
      <c r="C60" s="18">
        <f>'Top 100 Market Cap'!O55</f>
        <v>8.7499999999999994E-2</v>
      </c>
      <c r="D60" s="1" t="str">
        <f>'Top 100 Market Cap'!G55</f>
        <v>Technology</v>
      </c>
      <c r="E60" s="19" t="str">
        <f>'Top 100 Market Cap'!T55</f>
        <v>https://companiesmarketcap.com/dell/operating-margin/</v>
      </c>
    </row>
    <row r="61" spans="1:5" ht="15.75" customHeight="1">
      <c r="A61" s="1" t="str">
        <f>'Top 100 Market Cap'!C56</f>
        <v>Goldman Sachs</v>
      </c>
      <c r="B61" s="16">
        <f>'Top 100 Market Cap'!L56</f>
        <v>298.99</v>
      </c>
      <c r="C61" s="18">
        <f>'Top 100 Market Cap'!O56</f>
        <v>0.37530000000000002</v>
      </c>
      <c r="D61" s="1" t="str">
        <f>'Top 100 Market Cap'!G56</f>
        <v>Financials</v>
      </c>
      <c r="E61" s="19" t="str">
        <f>'Top 100 Market Cap'!T56</f>
        <v>https://companiesmarketcap.com/goldman-sachs/operating-margin/</v>
      </c>
    </row>
    <row r="62" spans="1:5" ht="15.75" customHeight="1">
      <c r="A62" s="1" t="str">
        <f>'Top 100 Market Cap'!C57</f>
        <v>Philip Morris International</v>
      </c>
      <c r="B62" s="16">
        <f>'Top 100 Market Cap'!L57</f>
        <v>293.05</v>
      </c>
      <c r="C62" s="18">
        <f>'Top 100 Market Cap'!O57</f>
        <v>0.34139999999999998</v>
      </c>
      <c r="D62" s="1" t="str">
        <f>'Top 100 Market Cap'!G57</f>
        <v>Consumer Staples</v>
      </c>
      <c r="E62" s="19" t="str">
        <f>'Top 100 Market Cap'!T57</f>
        <v>https://companiesmarketcap.com/philip-morris/operating-margin/</v>
      </c>
    </row>
    <row r="63" spans="1:5" ht="15.75" customHeight="1">
      <c r="A63" s="1" t="str">
        <f>'Top 100 Market Cap'!C58</f>
        <v>Novartis</v>
      </c>
      <c r="B63" s="16">
        <f>'Top 100 Market Cap'!L58</f>
        <v>289.38</v>
      </c>
      <c r="C63" s="18">
        <f>'Top 100 Market Cap'!O58</f>
        <v>0.27889999999999998</v>
      </c>
      <c r="D63" s="1" t="str">
        <f>'Top 100 Market Cap'!G58</f>
        <v>Technology</v>
      </c>
      <c r="E63" s="19" t="str">
        <f>'Top 100 Market Cap'!T58</f>
        <v>https://companiesmarketcap.com/novartis/operating-margin/</v>
      </c>
    </row>
    <row r="64" spans="1:5" ht="15.75" customHeight="1">
      <c r="A64" s="1" t="str">
        <f>'Top 100 Market Cap'!C59</f>
        <v>Alibaba</v>
      </c>
      <c r="B64" s="16">
        <f>'Top 100 Market Cap'!L59</f>
        <v>283.60000000000002</v>
      </c>
      <c r="C64" s="18">
        <f>'Top 100 Market Cap'!O59</f>
        <v>0.1356</v>
      </c>
      <c r="D64" s="1" t="str">
        <f>'Top 100 Market Cap'!G59</f>
        <v>Technology</v>
      </c>
      <c r="E64" s="19" t="str">
        <f>'Top 100 Market Cap'!T59</f>
        <v>https://companiesmarketcap.com/alibaba/operating-margin/</v>
      </c>
    </row>
    <row r="65" spans="1:5" ht="15.75" customHeight="1">
      <c r="A65" s="1" t="str">
        <f>'Top 100 Market Cap'!C60</f>
        <v>Royal Bank Of Canada</v>
      </c>
      <c r="B65" s="16">
        <f>'Top 100 Market Cap'!L60</f>
        <v>282.16000000000003</v>
      </c>
      <c r="C65" s="18">
        <f>'Top 100 Market Cap'!O60</f>
        <v>0.40590000000000004</v>
      </c>
      <c r="D65" s="1" t="str">
        <f>'Top 100 Market Cap'!G60</f>
        <v>Financials</v>
      </c>
      <c r="E65" s="19" t="str">
        <f>'Top 100 Market Cap'!T60</f>
        <v>https://companiesmarketcap.com/royal-bank-of-canada/operating-margin/</v>
      </c>
    </row>
    <row r="66" spans="1:5" ht="15.75" customHeight="1">
      <c r="A66" s="1" t="str">
        <f>'Top 100 Market Cap'!C61</f>
        <v>RTX</v>
      </c>
      <c r="B66" s="16">
        <f>'Top 100 Market Cap'!L61</f>
        <v>281.39999999999998</v>
      </c>
      <c r="C66" s="18">
        <f>'Top 100 Market Cap'!O61</f>
        <v>9.849999999999999E-2</v>
      </c>
      <c r="D66" s="1" t="str">
        <f>'Top 100 Market Cap'!G61</f>
        <v>Industrials</v>
      </c>
      <c r="E66" s="19" t="str">
        <f>'Top 100 Market Cap'!T61</f>
        <v>https://companiesmarketcap.com/raytheon-technologies/operating-margin/</v>
      </c>
    </row>
    <row r="67" spans="1:5" ht="15.75" customHeight="1">
      <c r="A67" s="1" t="str">
        <f>'Top 100 Market Cap'!C62</f>
        <v>Wells Fargo</v>
      </c>
      <c r="B67" s="16">
        <f>'Top 100 Market Cap'!L62</f>
        <v>262.24</v>
      </c>
      <c r="C67" s="18">
        <f>'Top 100 Market Cap'!O62</f>
        <v>0.30499999999999999</v>
      </c>
      <c r="D67" s="1" t="str">
        <f>'Top 100 Market Cap'!G62</f>
        <v>Financials</v>
      </c>
      <c r="E67" s="19" t="str">
        <f>'Top 100 Market Cap'!T62</f>
        <v>https://companiesmarketcap.com/wells-fargo/operating-margin/</v>
      </c>
    </row>
    <row r="68" spans="1:5" ht="15.75" customHeight="1">
      <c r="A68" s="1" t="str">
        <f>'Top 100 Market Cap'!C63</f>
        <v>LVMH</v>
      </c>
      <c r="B68" s="16">
        <f>'Top 100 Market Cap'!L63</f>
        <v>259.62</v>
      </c>
      <c r="C68" s="18">
        <f>'Top 100 Market Cap'!O63</f>
        <v>0.20660000000000001</v>
      </c>
      <c r="D68" s="1" t="str">
        <f>'Top 100 Market Cap'!G63</f>
        <v>Consumer Discretionary</v>
      </c>
      <c r="E68" s="19" t="str">
        <f>'Top 100 Market Cap'!T63</f>
        <v>https://companiesmarketcap.com/lvmh/operating-margin/</v>
      </c>
    </row>
    <row r="69" spans="1:5" ht="15.75" customHeight="1">
      <c r="A69" s="1" t="str">
        <f>'Top 100 Market Cap'!C64</f>
        <v>Siemens</v>
      </c>
      <c r="B69" s="16">
        <f>'Top 100 Market Cap'!L64</f>
        <v>258.89999999999998</v>
      </c>
      <c r="C69" s="18">
        <f>'Top 100 Market Cap'!O64</f>
        <v>0.1389</v>
      </c>
      <c r="D69" s="1" t="str">
        <f>'Top 100 Market Cap'!G64</f>
        <v>Industrials</v>
      </c>
      <c r="E69" s="19" t="str">
        <f>'Top 100 Market Cap'!T64</f>
        <v>https://companiesmarketcap.com/siemens/operating-margin/</v>
      </c>
    </row>
    <row r="70" spans="1:5" ht="15.75" customHeight="1">
      <c r="A70" s="1" t="str">
        <f>'Top 100 Market Cap'!C65</f>
        <v>Arm Holdings</v>
      </c>
      <c r="B70" s="16">
        <f>'Top 100 Market Cap'!L65</f>
        <v>257.83</v>
      </c>
      <c r="C70" s="18">
        <f>'Top 100 Market Cap'!O65</f>
        <v>0.1845</v>
      </c>
      <c r="D70" s="1" t="str">
        <f>'Top 100 Market Cap'!G65</f>
        <v>Technology</v>
      </c>
      <c r="E70" s="19" t="str">
        <f>'Top 100 Market Cap'!T65</f>
        <v>https://companiesmarketcap.com/arm-holdings/operating-margin/</v>
      </c>
    </row>
    <row r="71" spans="1:5" ht="15.75" customHeight="1">
      <c r="A71" s="1" t="str">
        <f>'Top 100 Market Cap'!C66</f>
        <v>SAP</v>
      </c>
      <c r="B71" s="16">
        <f>'Top 100 Market Cap'!L66</f>
        <v>256.11</v>
      </c>
      <c r="C71" s="18">
        <f>'Top 100 Market Cap'!O66</f>
        <v>0.2959</v>
      </c>
      <c r="D71" s="1" t="str">
        <f>'Top 100 Market Cap'!G66</f>
        <v>Technology</v>
      </c>
      <c r="E71" s="19" t="str">
        <f>'Top 100 Market Cap'!T66</f>
        <v>https://companiesmarketcap.com/sap/operating-margin/</v>
      </c>
    </row>
    <row r="72" spans="1:5" ht="15.75" customHeight="1">
      <c r="A72" s="1" t="str">
        <f>'Top 100 Market Cap'!C67</f>
        <v>Mitsubishi UFJ Financial</v>
      </c>
      <c r="B72" s="16">
        <f>'Top 100 Market Cap'!L67</f>
        <v>255.87</v>
      </c>
      <c r="C72" s="18">
        <f>'Top 100 Market Cap'!O67</f>
        <v>0.44369999999999998</v>
      </c>
      <c r="D72" s="1" t="str">
        <f>'Top 100 Market Cap'!G67</f>
        <v>Financials</v>
      </c>
      <c r="E72" s="19" t="str">
        <f>'Top 100 Market Cap'!T67</f>
        <v>https://companiesmarketcap.com/mitsubishi-ufj-financial/operating-margin/</v>
      </c>
    </row>
    <row r="73" spans="1:5" ht="15.75" customHeight="1">
      <c r="A73" s="1" t="str">
        <f>'Top 100 Market Cap'!C68</f>
        <v>AstraZeneca</v>
      </c>
      <c r="B73" s="16">
        <f>'Top 100 Market Cap'!L68</f>
        <v>251.72</v>
      </c>
      <c r="C73" s="18">
        <f>'Top 100 Market Cap'!O68</f>
        <v>0.21109999999999998</v>
      </c>
      <c r="D73" s="1" t="str">
        <f>'Top 100 Market Cap'!G68</f>
        <v>Technology</v>
      </c>
      <c r="E73" s="19" t="str">
        <f>'Top 100 Market Cap'!T68</f>
        <v>https://companiesmarketcap.com/astrazeneca/operating-margin/</v>
      </c>
    </row>
    <row r="74" spans="1:5" ht="15.75" customHeight="1">
      <c r="A74" s="1" t="str">
        <f>'Top 100 Market Cap'!C69</f>
        <v>Shell</v>
      </c>
      <c r="B74" s="16">
        <f>'Top 100 Market Cap'!L69</f>
        <v>251.71</v>
      </c>
      <c r="C74" s="18">
        <f>'Top 100 Market Cap'!O69</f>
        <v>0.11259999999999999</v>
      </c>
      <c r="D74" s="1" t="str">
        <f>'Top 100 Market Cap'!G69</f>
        <v>Energy</v>
      </c>
      <c r="E74" s="19" t="str">
        <f>'Top 100 Market Cap'!T69</f>
        <v>https://companiesmarketcap.com/shell/operating-margin/</v>
      </c>
    </row>
    <row r="75" spans="1:5" ht="15.75" customHeight="1">
      <c r="A75" s="1" t="str">
        <f>'Top 100 Market Cap'!C70</f>
        <v>Nestlé</v>
      </c>
      <c r="B75" s="16">
        <f>'Top 100 Market Cap'!L70</f>
        <v>250.88</v>
      </c>
      <c r="C75" s="18">
        <f>'Top 100 Market Cap'!O70</f>
        <v>0.11960000000000001</v>
      </c>
      <c r="D75" s="1" t="str">
        <f>'Top 100 Market Cap'!G70</f>
        <v>Consumer Staples</v>
      </c>
      <c r="E75" s="19" t="str">
        <f>'Top 100 Market Cap'!T70</f>
        <v>https://companiesmarketcap.com/nestle/operating-margin/</v>
      </c>
    </row>
    <row r="76" spans="1:5" ht="15.75" customHeight="1">
      <c r="A76" s="1" t="str">
        <f>'Top 100 Market Cap'!C71</f>
        <v>CATL</v>
      </c>
      <c r="B76" s="16">
        <f>'Top 100 Market Cap'!L71</f>
        <v>250.33</v>
      </c>
      <c r="C76" s="18">
        <f>'Top 100 Market Cap'!O71</f>
        <v>0.21640000000000001</v>
      </c>
      <c r="D76" s="1" t="str">
        <f>'Top 100 Market Cap'!G71</f>
        <v>Utilities</v>
      </c>
      <c r="E76" s="19" t="str">
        <f>'Top 100 Market Cap'!T71</f>
        <v>https://companiesmarketcap.com/catl/operating-margin/</v>
      </c>
    </row>
    <row r="77" spans="1:5" ht="15.75" customHeight="1">
      <c r="A77" s="1" t="str">
        <f>'Top 100 Market Cap'!C72</f>
        <v>Arista Networks</v>
      </c>
      <c r="B77" s="16">
        <f>'Top 100 Market Cap'!L72</f>
        <v>247.84</v>
      </c>
      <c r="C77" s="18">
        <f>'Top 100 Market Cap'!O72</f>
        <v>0.47020000000000001</v>
      </c>
      <c r="D77" s="1" t="str">
        <f>'Top 100 Market Cap'!G72</f>
        <v>Technology</v>
      </c>
      <c r="E77" s="19" t="str">
        <f>'Top 100 Market Cap'!T72</f>
        <v>https://companiesmarketcap.com/arista-networks/operating-margin/</v>
      </c>
    </row>
    <row r="78" spans="1:5" ht="15.75" customHeight="1">
      <c r="A78" s="1" t="str">
        <f>'Top 100 Market Cap'!C73</f>
        <v>Kweichow Moutai</v>
      </c>
      <c r="B78" s="16">
        <f>'Top 100 Market Cap'!L73</f>
        <v>242.18</v>
      </c>
      <c r="C78" s="18">
        <f>'Top 100 Market Cap'!O73</f>
        <v>0.6724</v>
      </c>
      <c r="D78" s="1" t="str">
        <f>'Top 100 Market Cap'!G73</f>
        <v>Consumer Staples</v>
      </c>
      <c r="E78" s="19" t="str">
        <f>'Top 100 Market Cap'!T73</f>
        <v>https://companiesmarketcap.com/kweichow-moutai/operating-margin/</v>
      </c>
    </row>
    <row r="79" spans="1:5" ht="15.75" customHeight="1">
      <c r="A79" s="1" t="str">
        <f>'Top 100 Market Cap'!C74</f>
        <v>BHP Group</v>
      </c>
      <c r="B79" s="16">
        <f>'Top 100 Market Cap'!L74</f>
        <v>238.54</v>
      </c>
      <c r="C79" s="18">
        <f>'Top 100 Market Cap'!O74</f>
        <v>0.39450000000000002</v>
      </c>
      <c r="D79" s="1" t="str">
        <f>'Top 100 Market Cap'!G74</f>
        <v>Materials</v>
      </c>
      <c r="E79" s="19" t="str">
        <f>'Top 100 Market Cap'!T74</f>
        <v>https://companiesmarketcap.com/bhp-group/operating-margin/</v>
      </c>
    </row>
    <row r="80" spans="1:5" ht="15.75" customHeight="1">
      <c r="A80" s="1" t="str">
        <f>'Top 100 Market Cap'!C75</f>
        <v>Texas Instruments</v>
      </c>
      <c r="B80" s="16">
        <f>'Top 100 Market Cap'!L75</f>
        <v>238.28</v>
      </c>
      <c r="C80" s="18">
        <f>'Top 100 Market Cap'!O75</f>
        <v>0.32289999999999996</v>
      </c>
      <c r="D80" s="1" t="str">
        <f>'Top 100 Market Cap'!G75</f>
        <v>Technology</v>
      </c>
      <c r="E80" s="19" t="str">
        <f>'Top 100 Market Cap'!T75</f>
        <v>https://companiesmarketcap.com/texas-instruments/operating-margin/</v>
      </c>
    </row>
    <row r="81" spans="1:5" ht="15.75" customHeight="1">
      <c r="A81" s="1" t="str">
        <f>'Top 100 Market Cap'!C76</f>
        <v>L'Oréal</v>
      </c>
      <c r="B81" s="16">
        <f>'Top 100 Market Cap'!L76</f>
        <v>238.07</v>
      </c>
      <c r="C81" s="18">
        <f>'Top 100 Market Cap'!O76</f>
        <v>0.193</v>
      </c>
      <c r="D81" s="1" t="str">
        <f>'Top 100 Market Cap'!G76</f>
        <v>Consumer Discretionary</v>
      </c>
      <c r="E81" s="19" t="str">
        <f>'Top 100 Market Cap'!T76</f>
        <v>https://companiesmarketcap.com/l-oreal/operating-margin/</v>
      </c>
    </row>
    <row r="82" spans="1:5" ht="15.75" customHeight="1">
      <c r="A82" s="1" t="str">
        <f>'Top 100 Market Cap'!C78</f>
        <v>GE Vernova</v>
      </c>
      <c r="B82" s="16">
        <f>'Top 100 Market Cap'!L78</f>
        <v>237.35</v>
      </c>
      <c r="C82" s="18">
        <f>'Top 100 Market Cap'!O78</f>
        <v>0.19289999999999999</v>
      </c>
      <c r="D82" s="1" t="str">
        <f>'Top 100 Market Cap'!G78</f>
        <v>Energy</v>
      </c>
      <c r="E82" s="19" t="str">
        <f>'Top 100 Market Cap'!T78</f>
        <v>https://companiesmarketcap.com/ge-vernova/operating-margin/</v>
      </c>
    </row>
    <row r="83" spans="1:5" ht="15.75" customHeight="1">
      <c r="A83" s="1" t="str">
        <f>'Top 100 Market Cap'!C79</f>
        <v>CrowdStrike</v>
      </c>
      <c r="B83" s="16">
        <f>'Top 100 Market Cap'!L79</f>
        <v>236.01</v>
      </c>
      <c r="C83" s="18">
        <f>'Top 100 Market Cap'!O79</f>
        <v>2.9999999999999997E-4</v>
      </c>
      <c r="D83" s="1" t="str">
        <f>'Top 100 Market Cap'!G79</f>
        <v>Technology</v>
      </c>
      <c r="E83" s="19" t="str">
        <f>'Top 100 Market Cap'!T79</f>
        <v>https://companiesmarketcap.com/crowdstrike/operating-margin/</v>
      </c>
    </row>
    <row r="84" spans="1:5" ht="15.75" customHeight="1">
      <c r="A84" s="1" t="str">
        <f>'Top 100 Market Cap'!C80</f>
        <v>Toyota</v>
      </c>
      <c r="B84" s="16">
        <f>'Top 100 Market Cap'!L80</f>
        <v>232.68</v>
      </c>
      <c r="C84" s="18">
        <f>'Top 100 Market Cap'!O80</f>
        <v>0.1016</v>
      </c>
      <c r="D84" s="1" t="str">
        <f>'Top 100 Market Cap'!G80</f>
        <v>Other</v>
      </c>
      <c r="E84" s="19" t="str">
        <f>'Top 100 Market Cap'!T80</f>
        <v>https://companiesmarketcap.com/toyota/operating-margin/</v>
      </c>
    </row>
    <row r="85" spans="1:5" ht="15.75" customHeight="1">
      <c r="A85" s="1" t="str">
        <f>'Top 100 Market Cap'!C81</f>
        <v>Amgen</v>
      </c>
      <c r="B85" s="16">
        <f>'Top 100 Market Cap'!L81</f>
        <v>232.49</v>
      </c>
      <c r="C85" s="18">
        <f>'Top 100 Market Cap'!O81</f>
        <v>0.24410000000000001</v>
      </c>
      <c r="D85" s="1" t="str">
        <f>'Top 100 Market Cap'!G81</f>
        <v>Technology</v>
      </c>
      <c r="E85" s="19" t="str">
        <f>'Top 100 Market Cap'!T81</f>
        <v>https://companiesmarketcap.com/amgen/operating-margin/</v>
      </c>
    </row>
    <row r="86" spans="1:5" ht="15.75" customHeight="1">
      <c r="A86" s="1" t="str">
        <f>'Top 100 Market Cap'!C82</f>
        <v>Thermo Fisher Scientific</v>
      </c>
      <c r="B86" s="16">
        <f>'Top 100 Market Cap'!L82</f>
        <v>229.2</v>
      </c>
      <c r="C86" s="18">
        <f>'Top 100 Market Cap'!O82</f>
        <v>0.16420000000000001</v>
      </c>
      <c r="D86" s="1" t="str">
        <f>'Top 100 Market Cap'!G82</f>
        <v>Technology</v>
      </c>
      <c r="E86" s="19" t="str">
        <f>'Top 100 Market Cap'!T82</f>
        <v>https://companiesmarketcap.com/thermo-fisher-scientific/operating-margin/</v>
      </c>
    </row>
    <row r="87" spans="1:5" ht="15.75" customHeight="1">
      <c r="A87" s="1" t="str">
        <f>'Top 100 Market Cap'!C83</f>
        <v>KLA</v>
      </c>
      <c r="B87" s="16">
        <f>'Top 100 Market Cap'!L83</f>
        <v>229.12</v>
      </c>
      <c r="C87" s="18">
        <f>'Top 100 Market Cap'!O83</f>
        <v>0.41110000000000002</v>
      </c>
      <c r="D87" s="1" t="str">
        <f>'Top 100 Market Cap'!G83</f>
        <v>Technology</v>
      </c>
      <c r="E87" s="19" t="str">
        <f>'Top 100 Market Cap'!T83</f>
        <v>https://companiesmarketcap.com/kla/operating-margin/</v>
      </c>
    </row>
    <row r="88" spans="1:5" ht="15.75" customHeight="1">
      <c r="A88" s="1" t="str">
        <f>'Top 100 Market Cap'!C84</f>
        <v>Linde</v>
      </c>
      <c r="B88" s="16">
        <f>'Top 100 Market Cap'!L84</f>
        <v>225.3</v>
      </c>
      <c r="C88" s="18">
        <f>'Top 100 Market Cap'!O84</f>
        <v>0.26170000000000004</v>
      </c>
      <c r="D88" s="1" t="str">
        <f>'Top 100 Market Cap'!G84</f>
        <v>Materials</v>
      </c>
      <c r="E88" s="19" t="str">
        <f>'Top 100 Market Cap'!T84</f>
        <v>https://companiesmarketcap.com/linde/operating-margin/</v>
      </c>
    </row>
    <row r="89" spans="1:5" ht="15.75" customHeight="1">
      <c r="A89" s="1" t="str">
        <f>'Top 100 Market Cap'!C85</f>
        <v>American Express</v>
      </c>
      <c r="B89" s="16">
        <f>'Top 100 Market Cap'!L85</f>
        <v>223.55</v>
      </c>
      <c r="C89" s="18">
        <f>'Top 100 Market Cap'!O85</f>
        <v>0.192</v>
      </c>
      <c r="D89" s="1" t="str">
        <f>'Top 100 Market Cap'!G85</f>
        <v>Financials</v>
      </c>
      <c r="E89" s="19" t="str">
        <f>'Top 100 Market Cap'!T85</f>
        <v>https://companiesmarketcap.com/american-express/operating-margin/</v>
      </c>
    </row>
    <row r="90" spans="1:5" ht="15.75" customHeight="1">
      <c r="A90" s="1" t="str">
        <f>'Top 100 Market Cap'!C86</f>
        <v>IBM</v>
      </c>
      <c r="B90" s="16">
        <f>'Top 100 Market Cap'!L86</f>
        <v>221.32</v>
      </c>
      <c r="C90" s="18">
        <f>'Top 100 Market Cap'!O86</f>
        <v>0.15310000000000001</v>
      </c>
      <c r="D90" s="1" t="str">
        <f>'Top 100 Market Cap'!G86</f>
        <v>Technology</v>
      </c>
      <c r="E90" s="19" t="str">
        <f>'Top 100 Market Cap'!T86</f>
        <v>https://companiesmarketcap.com/ibm/operating-margin/</v>
      </c>
    </row>
    <row r="91" spans="1:5" ht="15.75" customHeight="1">
      <c r="A91" s="1" t="str">
        <f>'Top 100 Market Cap'!C88</f>
        <v>Citigroup</v>
      </c>
      <c r="B91" s="16">
        <f>'Top 100 Market Cap'!L88</f>
        <v>220.71</v>
      </c>
      <c r="C91" s="18">
        <f>'Top 100 Market Cap'!O88</f>
        <v>0.24850000000000003</v>
      </c>
      <c r="D91" s="1" t="str">
        <f>'Top 100 Market Cap'!G88</f>
        <v>Financials</v>
      </c>
      <c r="E91" s="19" t="str">
        <f>'Top 100 Market Cap'!T88</f>
        <v>https://companiesmarketcap.com/citigroup/operating-margin/</v>
      </c>
    </row>
    <row r="92" spans="1:5" ht="15.75" customHeight="1">
      <c r="A92" s="1" t="str">
        <f>'Top 100 Market Cap'!C90</f>
        <v>Sandisk</v>
      </c>
      <c r="B92" s="16">
        <f>'Top 100 Market Cap'!L90</f>
        <v>215.08</v>
      </c>
      <c r="C92" s="18">
        <f>'Top 100 Market Cap'!O90</f>
        <v>0.3906</v>
      </c>
      <c r="D92" s="1" t="str">
        <f>'Top 100 Market Cap'!G90</f>
        <v>Technology</v>
      </c>
      <c r="E92" s="19" t="str">
        <f>'Top 100 Market Cap'!T90</f>
        <v>https://companiesmarketcap.com/sandisk/operating-margin/</v>
      </c>
    </row>
    <row r="93" spans="1:5" ht="15.75" customHeight="1">
      <c r="A93" s="1" t="str">
        <f>'Top 100 Market Cap'!C91</f>
        <v>Salesforce</v>
      </c>
      <c r="B93" s="16">
        <f>'Top 100 Market Cap'!L91</f>
        <v>213.84</v>
      </c>
      <c r="C93" s="18">
        <f>'Top 100 Market Cap'!O91</f>
        <v>0.2397</v>
      </c>
      <c r="D93" s="1" t="str">
        <f>'Top 100 Market Cap'!G91</f>
        <v>Technology</v>
      </c>
      <c r="E93" s="19" t="str">
        <f>'Top 100 Market Cap'!T91</f>
        <v>https://companiesmarketcap.com/salesforce/operating-margin/</v>
      </c>
    </row>
    <row r="94" spans="1:5" ht="15.75" customHeight="1">
      <c r="A94" s="1" t="str">
        <f>'Top 100 Market Cap'!C92</f>
        <v>Santander</v>
      </c>
      <c r="B94" s="16">
        <f>'Top 100 Market Cap'!L92</f>
        <v>211.82</v>
      </c>
      <c r="C94" s="18">
        <f>'Top 100 Market Cap'!O92</f>
        <v>0.32270000000000004</v>
      </c>
      <c r="D94" s="1" t="str">
        <f>'Top 100 Market Cap'!G92</f>
        <v>Financials</v>
      </c>
      <c r="E94" s="19" t="str">
        <f>'Top 100 Market Cap'!T92</f>
        <v>https://companiesmarketcap.com/santander/operating-margin/</v>
      </c>
    </row>
    <row r="95" spans="1:5" ht="15.75" customHeight="1">
      <c r="A95" s="1" t="str">
        <f>'Top 100 Market Cap'!C93</f>
        <v>Inditex</v>
      </c>
      <c r="B95" s="16">
        <f>'Top 100 Market Cap'!L93</f>
        <v>210.73</v>
      </c>
      <c r="C95" s="18">
        <f>'Top 100 Market Cap'!O93</f>
        <v>0.20920000000000002</v>
      </c>
      <c r="D95" s="1" t="str">
        <f>'Top 100 Market Cap'!G93</f>
        <v>Consumer Discretionary</v>
      </c>
      <c r="E95" s="19" t="str">
        <f>'Top 100 Market Cap'!T93</f>
        <v>https://companiesmarketcap.com/inditex/operating-margin/</v>
      </c>
    </row>
    <row r="96" spans="1:5" ht="15.75" customHeight="1">
      <c r="A96" s="1" t="str">
        <f>'Top 100 Market Cap'!C94</f>
        <v>Verizon</v>
      </c>
      <c r="B96" s="16">
        <f>'Top 100 Market Cap'!L94</f>
        <v>208.51</v>
      </c>
      <c r="C96" s="18">
        <f>'Top 100 Market Cap'!O94</f>
        <v>0.16510000000000002</v>
      </c>
      <c r="D96" s="1" t="str">
        <f>'Top 100 Market Cap'!G94</f>
        <v>Communication Services</v>
      </c>
      <c r="E96" s="19" t="str">
        <f>'Top 100 Market Cap'!T94</f>
        <v>https://companiesmarketcap.com/verizon/operating-margin/</v>
      </c>
    </row>
    <row r="97" spans="1:5" ht="15.75" customHeight="1">
      <c r="A97" s="1" t="str">
        <f>'Top 100 Market Cap'!C95</f>
        <v>Novo Nordisk</v>
      </c>
      <c r="B97" s="16">
        <f>'Top 100 Market Cap'!L95</f>
        <v>200.31</v>
      </c>
      <c r="C97" s="18">
        <f>'Top 100 Market Cap'!O95</f>
        <v>0.42229999999999995</v>
      </c>
      <c r="D97" s="1" t="str">
        <f>'Top 100 Market Cap'!G95</f>
        <v>Technology</v>
      </c>
      <c r="E97" s="19" t="str">
        <f>'Top 100 Market Cap'!T95</f>
        <v>https://companiesmarketcap.com/novo-nordisk/operating-margin/</v>
      </c>
    </row>
    <row r="98" spans="1:5" ht="15.75" customHeight="1">
      <c r="A98" s="1" t="str">
        <f>'Top 100 Market Cap'!C96</f>
        <v>Allianz SE</v>
      </c>
      <c r="B98" s="16">
        <f>'Top 100 Market Cap'!L96</f>
        <v>198.64</v>
      </c>
      <c r="C98" s="18">
        <f>'Top 100 Market Cap'!O96</f>
        <v>0.12390000000000001</v>
      </c>
      <c r="D98" s="1" t="str">
        <f>'Top 100 Market Cap'!G96</f>
        <v>Financials</v>
      </c>
      <c r="E98" s="19" t="str">
        <f>'Top 100 Market Cap'!T96</f>
        <v>https://companiesmarketcap.com/allianz/operating-margin/</v>
      </c>
    </row>
    <row r="99" spans="1:5" ht="15.75" customHeight="1">
      <c r="A99" s="1" t="str">
        <f>'Top 100 Market Cap'!C97</f>
        <v>Toronto Dominion Bank</v>
      </c>
      <c r="B99" s="16">
        <f>'Top 100 Market Cap'!L97</f>
        <v>198.02</v>
      </c>
      <c r="C99" s="18">
        <f>'Top 100 Market Cap'!O97</f>
        <v>0.29100000000000004</v>
      </c>
      <c r="D99" s="1" t="str">
        <f>'Top 100 Market Cap'!G97</f>
        <v>Financials</v>
      </c>
      <c r="E99" s="19" t="str">
        <f>'Top 100 Market Cap'!T97</f>
        <v>https://companiesmarketcap.com/toronto-dominion-bank/operating-margin/</v>
      </c>
    </row>
    <row r="100" spans="1:5" ht="15.75" customHeight="1">
      <c r="A100" s="1" t="str">
        <f>'Top 100 Market Cap'!C98</f>
        <v>MediaTek</v>
      </c>
      <c r="B100" s="16">
        <f>'Top 100 Market Cap'!L98</f>
        <v>197.85</v>
      </c>
      <c r="C100" s="18">
        <f>'Top 100 Market Cap'!O98</f>
        <v>0.20949999999999999</v>
      </c>
      <c r="D100" s="1" t="str">
        <f>'Top 100 Market Cap'!G98</f>
        <v>Technology</v>
      </c>
      <c r="E100" s="19" t="str">
        <f>'Top 100 Market Cap'!T98</f>
        <v>https://companiesmarketcap.com/mediatek/operating-margin/</v>
      </c>
    </row>
    <row r="101" spans="1:5" ht="15.75" customHeight="1">
      <c r="A101" s="1" t="str">
        <f>'Top 100 Market Cap'!C99</f>
        <v>Amphenol</v>
      </c>
      <c r="B101" s="16">
        <f>'Top 100 Market Cap'!L99</f>
        <v>196.62</v>
      </c>
      <c r="C101" s="18">
        <f>'Top 100 Market Cap'!O99</f>
        <v>0.24249999999999999</v>
      </c>
      <c r="D101" s="1" t="str">
        <f>'Top 100 Market Cap'!G99</f>
        <v>Technology</v>
      </c>
      <c r="E101" s="19" t="str">
        <f>'Top 100 Market Cap'!T99</f>
        <v>https://companiesmarketcap.com/amphenol/operating-margin/</v>
      </c>
    </row>
    <row r="102" spans="1:5" ht="15.75" customHeight="1">
      <c r="A102" s="1" t="str">
        <f>'Top 100 Market Cap'!C100</f>
        <v>TotalEnergies</v>
      </c>
      <c r="B102" s="16">
        <f>'Top 100 Market Cap'!L100</f>
        <v>195.4</v>
      </c>
      <c r="C102" s="18">
        <f>'Top 100 Market Cap'!O100</f>
        <v>0.1231</v>
      </c>
      <c r="D102" s="1" t="str">
        <f>'Top 100 Market Cap'!G100</f>
        <v>Energy</v>
      </c>
      <c r="E102" s="19" t="str">
        <f>'Top 100 Market Cap'!T100</f>
        <v>https://companiesmarketcap.com/totalenergies/operating-margin/</v>
      </c>
    </row>
    <row r="103" spans="1:5" ht="15.75" customHeight="1">
      <c r="A103" s="1" t="str">
        <f>'Top 100 Market Cap'!C102</f>
        <v>T-Mobile US</v>
      </c>
      <c r="B103" s="16">
        <f>'Top 100 Market Cap'!L102</f>
        <v>194.29</v>
      </c>
      <c r="C103" s="18">
        <f>'Top 100 Market Cap'!O102</f>
        <v>0.16170000000000001</v>
      </c>
      <c r="D103" s="1" t="str">
        <f>'Top 100 Market Cap'!G102</f>
        <v>Communication Services</v>
      </c>
      <c r="E103" s="19" t="str">
        <f>'Top 100 Market Cap'!T102</f>
        <v>https://companiesmarketcap.com/t-mobile-us/operating-margin/</v>
      </c>
    </row>
    <row r="104" spans="1:5" ht="15.75" customHeight="1"/>
    <row r="105" spans="1:5" ht="15.75" customHeight="1"/>
    <row r="106" spans="1:5" ht="15.75" customHeight="1"/>
    <row r="107" spans="1:5" ht="15.75" customHeight="1"/>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G8:H8"/>
    <mergeCell ref="G9:H13"/>
  </mergeCells>
  <pageMargins left="0.25" right="0.25" top="0.75" bottom="0.75" header="0.3" footer="0.3"/>
  <pageSetup paperSize="9" scale="7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Guide</vt:lpstr>
      <vt:lpstr>Top 100 Market Cap</vt:lpstr>
      <vt:lpstr>Pivot Analysis</vt:lpstr>
      <vt:lpstr>Dashboard</vt:lpstr>
      <vt:lpstr>Relationship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FRIDAY</dc:creator>
  <cp:lastModifiedBy>FRIDAY</cp:lastModifiedBy>
  <cp:lastPrinted>2026-09-01T17:57:54Z</cp:lastPrinted>
  <dcterms:created xsi:type="dcterms:W3CDTF">2026-09-01T17:22:19Z</dcterms:created>
  <dcterms:modified xsi:type="dcterms:W3CDTF">2026-09-01T18:23:34Z</dcterms:modified>
</cp:coreProperties>
</file>